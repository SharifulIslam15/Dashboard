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ropbox\MSU_Francis\Papers\Chapter 1 - Te Availability (Submitted)\2- Revision (Progress in Photovoltaics)\"/>
    </mc:Choice>
  </mc:AlternateContent>
  <xr:revisionPtr revIDLastSave="0" documentId="13_ncr:1_{BF5EA9E9-1A5E-4386-ACE5-54D89B44468A}" xr6:coauthVersionLast="47" xr6:coauthVersionMax="47" xr10:uidLastSave="{00000000-0000-0000-0000-000000000000}"/>
  <bookViews>
    <workbookView xWindow="-120" yWindow="-120" windowWidth="20730" windowHeight="11040" firstSheet="4" activeTab="6" xr2:uid="{D97C077C-7E5D-48C6-B9CE-36AEC933A508}"/>
  </bookViews>
  <sheets>
    <sheet name="Input CdTe PV Production" sheetId="3" r:id="rId1"/>
    <sheet name="Low Demand Sc. Results" sheetId="4" r:id="rId2"/>
    <sheet name="High Demand Sc. Results" sheetId="5" r:id="rId3"/>
    <sheet name="BaU Demand Sc. Results" sheetId="6" r:id="rId4"/>
    <sheet name="Recycling Results_LDS" sheetId="8" r:id="rId5"/>
    <sheet name="Recycling Results_BaU" sheetId="9" r:id="rId6"/>
    <sheet name="Recycling Results_HDS" sheetId="10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9" i="10" l="1"/>
  <c r="D29" i="10"/>
  <c r="H29" i="10" s="1"/>
  <c r="I28" i="10"/>
  <c r="F28" i="10"/>
  <c r="E28" i="10"/>
  <c r="D28" i="10"/>
  <c r="H28" i="10" s="1"/>
  <c r="I27" i="10"/>
  <c r="E27" i="10"/>
  <c r="F27" i="10" s="1"/>
  <c r="D27" i="10"/>
  <c r="H27" i="10" s="1"/>
  <c r="I26" i="10"/>
  <c r="H26" i="10"/>
  <c r="E26" i="10"/>
  <c r="F26" i="10" s="1"/>
  <c r="D26" i="10"/>
  <c r="I25" i="10"/>
  <c r="E25" i="10"/>
  <c r="F25" i="10" s="1"/>
  <c r="D25" i="10"/>
  <c r="H25" i="10" s="1"/>
  <c r="I24" i="10"/>
  <c r="D24" i="10"/>
  <c r="H24" i="10" s="1"/>
  <c r="I23" i="10"/>
  <c r="H23" i="10"/>
  <c r="D23" i="10"/>
  <c r="E23" i="10" s="1"/>
  <c r="F23" i="10" s="1"/>
  <c r="I22" i="10"/>
  <c r="D22" i="10"/>
  <c r="H22" i="10" s="1"/>
  <c r="I21" i="10"/>
  <c r="D21" i="10"/>
  <c r="H21" i="10" s="1"/>
  <c r="I20" i="10"/>
  <c r="F20" i="10"/>
  <c r="E20" i="10"/>
  <c r="D20" i="10"/>
  <c r="H20" i="10" s="1"/>
  <c r="I19" i="10"/>
  <c r="E19" i="10"/>
  <c r="F19" i="10" s="1"/>
  <c r="D19" i="10"/>
  <c r="H19" i="10" s="1"/>
  <c r="I18" i="10"/>
  <c r="H18" i="10"/>
  <c r="E18" i="10"/>
  <c r="F18" i="10" s="1"/>
  <c r="D18" i="10"/>
  <c r="I17" i="10"/>
  <c r="E17" i="10"/>
  <c r="F17" i="10" s="1"/>
  <c r="D17" i="10"/>
  <c r="H17" i="10" s="1"/>
  <c r="I16" i="10"/>
  <c r="E16" i="10"/>
  <c r="F16" i="10" s="1"/>
  <c r="D16" i="10"/>
  <c r="H16" i="10" s="1"/>
  <c r="I15" i="10"/>
  <c r="H15" i="10"/>
  <c r="D15" i="10"/>
  <c r="E15" i="10" s="1"/>
  <c r="F15" i="10" s="1"/>
  <c r="I14" i="10"/>
  <c r="D14" i="10"/>
  <c r="H14" i="10" s="1"/>
  <c r="I13" i="10"/>
  <c r="D13" i="10"/>
  <c r="H13" i="10" s="1"/>
  <c r="I12" i="10"/>
  <c r="F12" i="10"/>
  <c r="E12" i="10"/>
  <c r="D12" i="10"/>
  <c r="H12" i="10" s="1"/>
  <c r="I11" i="10"/>
  <c r="F11" i="10"/>
  <c r="E11" i="10"/>
  <c r="D11" i="10"/>
  <c r="H11" i="10" s="1"/>
  <c r="I10" i="10"/>
  <c r="H10" i="10"/>
  <c r="E10" i="10"/>
  <c r="F10" i="10" s="1"/>
  <c r="D10" i="10"/>
  <c r="I9" i="10"/>
  <c r="E9" i="10"/>
  <c r="F9" i="10" s="1"/>
  <c r="D9" i="10"/>
  <c r="H9" i="10" s="1"/>
  <c r="I8" i="10"/>
  <c r="E8" i="10"/>
  <c r="F8" i="10" s="1"/>
  <c r="D8" i="10"/>
  <c r="H8" i="10" s="1"/>
  <c r="I7" i="10"/>
  <c r="H7" i="10"/>
  <c r="D7" i="10"/>
  <c r="E7" i="10" s="1"/>
  <c r="F7" i="10" s="1"/>
  <c r="I6" i="10"/>
  <c r="D6" i="10"/>
  <c r="H6" i="10" s="1"/>
  <c r="I5" i="10"/>
  <c r="D5" i="10"/>
  <c r="H5" i="10" s="1"/>
  <c r="I4" i="10"/>
  <c r="F4" i="10"/>
  <c r="E4" i="10"/>
  <c r="D4" i="10"/>
  <c r="H4" i="10" s="1"/>
  <c r="I3" i="10"/>
  <c r="F3" i="10"/>
  <c r="E3" i="10"/>
  <c r="D3" i="10"/>
  <c r="H3" i="10" s="1"/>
  <c r="I2" i="10"/>
  <c r="H2" i="10"/>
  <c r="D2" i="10"/>
  <c r="E2" i="10" s="1"/>
  <c r="F2" i="10" s="1"/>
  <c r="I29" i="9"/>
  <c r="H29" i="9"/>
  <c r="D29" i="9"/>
  <c r="E29" i="9" s="1"/>
  <c r="F29" i="9" s="1"/>
  <c r="I28" i="9"/>
  <c r="F28" i="9"/>
  <c r="E28" i="9"/>
  <c r="D28" i="9"/>
  <c r="H28" i="9" s="1"/>
  <c r="I27" i="9"/>
  <c r="E27" i="9"/>
  <c r="F27" i="9" s="1"/>
  <c r="D27" i="9"/>
  <c r="H27" i="9" s="1"/>
  <c r="I26" i="9"/>
  <c r="H26" i="9"/>
  <c r="E26" i="9"/>
  <c r="F26" i="9" s="1"/>
  <c r="D26" i="9"/>
  <c r="I25" i="9"/>
  <c r="E25" i="9"/>
  <c r="F25" i="9" s="1"/>
  <c r="D25" i="9"/>
  <c r="H25" i="9" s="1"/>
  <c r="I24" i="9"/>
  <c r="D24" i="9"/>
  <c r="H24" i="9" s="1"/>
  <c r="I23" i="9"/>
  <c r="H23" i="9"/>
  <c r="D23" i="9"/>
  <c r="E23" i="9" s="1"/>
  <c r="F23" i="9" s="1"/>
  <c r="I22" i="9"/>
  <c r="D22" i="9"/>
  <c r="H22" i="9" s="1"/>
  <c r="I21" i="9"/>
  <c r="H21" i="9"/>
  <c r="D21" i="9"/>
  <c r="E21" i="9" s="1"/>
  <c r="F21" i="9" s="1"/>
  <c r="I20" i="9"/>
  <c r="F20" i="9"/>
  <c r="E20" i="9"/>
  <c r="D20" i="9"/>
  <c r="H20" i="9" s="1"/>
  <c r="I19" i="9"/>
  <c r="H19" i="9"/>
  <c r="E19" i="9"/>
  <c r="F19" i="9" s="1"/>
  <c r="D19" i="9"/>
  <c r="I18" i="9"/>
  <c r="H18" i="9"/>
  <c r="E18" i="9"/>
  <c r="F18" i="9" s="1"/>
  <c r="D18" i="9"/>
  <c r="I17" i="9"/>
  <c r="E17" i="9"/>
  <c r="F17" i="9" s="1"/>
  <c r="D17" i="9"/>
  <c r="H17" i="9" s="1"/>
  <c r="I16" i="9"/>
  <c r="D16" i="9"/>
  <c r="H16" i="9" s="1"/>
  <c r="I15" i="9"/>
  <c r="H15" i="9"/>
  <c r="D15" i="9"/>
  <c r="E15" i="9" s="1"/>
  <c r="F15" i="9" s="1"/>
  <c r="I14" i="9"/>
  <c r="D14" i="9"/>
  <c r="H14" i="9" s="1"/>
  <c r="I13" i="9"/>
  <c r="H13" i="9"/>
  <c r="F13" i="9"/>
  <c r="E13" i="9"/>
  <c r="D13" i="9"/>
  <c r="I12" i="9"/>
  <c r="F12" i="9"/>
  <c r="E12" i="9"/>
  <c r="D12" i="9"/>
  <c r="H12" i="9" s="1"/>
  <c r="I11" i="9"/>
  <c r="H11" i="9"/>
  <c r="E11" i="9"/>
  <c r="F11" i="9" s="1"/>
  <c r="D11" i="9"/>
  <c r="I10" i="9"/>
  <c r="H10" i="9"/>
  <c r="E10" i="9"/>
  <c r="F10" i="9" s="1"/>
  <c r="D10" i="9"/>
  <c r="I9" i="9"/>
  <c r="E9" i="9"/>
  <c r="F9" i="9" s="1"/>
  <c r="D9" i="9"/>
  <c r="H9" i="9" s="1"/>
  <c r="I8" i="9"/>
  <c r="D8" i="9"/>
  <c r="H8" i="9" s="1"/>
  <c r="I7" i="9"/>
  <c r="H7" i="9"/>
  <c r="D7" i="9"/>
  <c r="E7" i="9" s="1"/>
  <c r="F7" i="9" s="1"/>
  <c r="I6" i="9"/>
  <c r="D6" i="9"/>
  <c r="H6" i="9" s="1"/>
  <c r="I5" i="9"/>
  <c r="H5" i="9"/>
  <c r="E5" i="9"/>
  <c r="F5" i="9" s="1"/>
  <c r="D5" i="9"/>
  <c r="I4" i="9"/>
  <c r="F4" i="9"/>
  <c r="E4" i="9"/>
  <c r="D4" i="9"/>
  <c r="H4" i="9" s="1"/>
  <c r="I3" i="9"/>
  <c r="H3" i="9"/>
  <c r="E3" i="9"/>
  <c r="F3" i="9" s="1"/>
  <c r="D3" i="9"/>
  <c r="I2" i="9"/>
  <c r="H2" i="9"/>
  <c r="D2" i="9"/>
  <c r="E2" i="9" s="1"/>
  <c r="F2" i="9" s="1"/>
  <c r="I29" i="8"/>
  <c r="H29" i="8"/>
  <c r="D29" i="8"/>
  <c r="E29" i="8" s="1"/>
  <c r="F29" i="8" s="1"/>
  <c r="I28" i="8"/>
  <c r="D28" i="8"/>
  <c r="E28" i="8" s="1"/>
  <c r="F28" i="8" s="1"/>
  <c r="I27" i="8"/>
  <c r="D27" i="8"/>
  <c r="H27" i="8" s="1"/>
  <c r="I26" i="8"/>
  <c r="H26" i="8"/>
  <c r="F26" i="8"/>
  <c r="E26" i="8"/>
  <c r="D26" i="8"/>
  <c r="I25" i="8"/>
  <c r="D25" i="8"/>
  <c r="E25" i="8" s="1"/>
  <c r="F25" i="8" s="1"/>
  <c r="I24" i="8"/>
  <c r="D24" i="8"/>
  <c r="H24" i="8" s="1"/>
  <c r="I23" i="8"/>
  <c r="H23" i="8"/>
  <c r="E23" i="8"/>
  <c r="F23" i="8" s="1"/>
  <c r="D23" i="8"/>
  <c r="I22" i="8"/>
  <c r="D22" i="8"/>
  <c r="H22" i="8" s="1"/>
  <c r="I21" i="8"/>
  <c r="H21" i="8"/>
  <c r="D21" i="8"/>
  <c r="E21" i="8" s="1"/>
  <c r="F21" i="8" s="1"/>
  <c r="I20" i="8"/>
  <c r="D20" i="8"/>
  <c r="E20" i="8" s="1"/>
  <c r="F20" i="8" s="1"/>
  <c r="I19" i="8"/>
  <c r="D19" i="8"/>
  <c r="H19" i="8" s="1"/>
  <c r="I18" i="8"/>
  <c r="H18" i="8"/>
  <c r="F18" i="8"/>
  <c r="E18" i="8"/>
  <c r="D18" i="8"/>
  <c r="I17" i="8"/>
  <c r="D17" i="8"/>
  <c r="E17" i="8" s="1"/>
  <c r="F17" i="8" s="1"/>
  <c r="I16" i="8"/>
  <c r="D16" i="8"/>
  <c r="H16" i="8" s="1"/>
  <c r="I15" i="8"/>
  <c r="H15" i="8"/>
  <c r="E15" i="8"/>
  <c r="F15" i="8" s="1"/>
  <c r="D15" i="8"/>
  <c r="I14" i="8"/>
  <c r="D14" i="8"/>
  <c r="H14" i="8" s="1"/>
  <c r="I13" i="8"/>
  <c r="H13" i="8"/>
  <c r="D13" i="8"/>
  <c r="E13" i="8" s="1"/>
  <c r="F13" i="8" s="1"/>
  <c r="I12" i="8"/>
  <c r="D12" i="8"/>
  <c r="E12" i="8" s="1"/>
  <c r="F12" i="8" s="1"/>
  <c r="I11" i="8"/>
  <c r="D11" i="8"/>
  <c r="H11" i="8" s="1"/>
  <c r="I10" i="8"/>
  <c r="H10" i="8"/>
  <c r="D10" i="8"/>
  <c r="E10" i="8" s="1"/>
  <c r="F10" i="8" s="1"/>
  <c r="I9" i="8"/>
  <c r="D9" i="8"/>
  <c r="H9" i="8" s="1"/>
  <c r="I8" i="8"/>
  <c r="H8" i="8"/>
  <c r="D8" i="8"/>
  <c r="E8" i="8" s="1"/>
  <c r="F8" i="8" s="1"/>
  <c r="I7" i="8"/>
  <c r="H7" i="8"/>
  <c r="E7" i="8"/>
  <c r="F7" i="8" s="1"/>
  <c r="D7" i="8"/>
  <c r="I6" i="8"/>
  <c r="D6" i="8"/>
  <c r="H6" i="8" s="1"/>
  <c r="I5" i="8"/>
  <c r="H5" i="8"/>
  <c r="E5" i="8"/>
  <c r="F5" i="8" s="1"/>
  <c r="D5" i="8"/>
  <c r="I4" i="8"/>
  <c r="D4" i="8"/>
  <c r="E4" i="8" s="1"/>
  <c r="F4" i="8" s="1"/>
  <c r="I3" i="8"/>
  <c r="D3" i="8"/>
  <c r="H3" i="8" s="1"/>
  <c r="I2" i="8"/>
  <c r="H2" i="8"/>
  <c r="D2" i="8"/>
  <c r="E2" i="8" s="1"/>
  <c r="F2" i="8" s="1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" i="3"/>
  <c r="E6" i="10" l="1"/>
  <c r="F6" i="10" s="1"/>
  <c r="E14" i="10"/>
  <c r="F14" i="10" s="1"/>
  <c r="E22" i="10"/>
  <c r="F22" i="10" s="1"/>
  <c r="E24" i="10"/>
  <c r="F24" i="10" s="1"/>
  <c r="E5" i="10"/>
  <c r="F5" i="10" s="1"/>
  <c r="E13" i="10"/>
  <c r="F13" i="10" s="1"/>
  <c r="E21" i="10"/>
  <c r="F21" i="10" s="1"/>
  <c r="E29" i="10"/>
  <c r="F29" i="10" s="1"/>
  <c r="E6" i="9"/>
  <c r="F6" i="9" s="1"/>
  <c r="E14" i="9"/>
  <c r="F14" i="9" s="1"/>
  <c r="E22" i="9"/>
  <c r="F22" i="9" s="1"/>
  <c r="E8" i="9"/>
  <c r="F8" i="9" s="1"/>
  <c r="E16" i="9"/>
  <c r="F16" i="9" s="1"/>
  <c r="E24" i="9"/>
  <c r="F24" i="9" s="1"/>
  <c r="E9" i="8"/>
  <c r="F9" i="8" s="1"/>
  <c r="H4" i="8"/>
  <c r="H12" i="8"/>
  <c r="H20" i="8"/>
  <c r="E22" i="8"/>
  <c r="F22" i="8" s="1"/>
  <c r="H28" i="8"/>
  <c r="E3" i="8"/>
  <c r="F3" i="8" s="1"/>
  <c r="E11" i="8"/>
  <c r="F11" i="8" s="1"/>
  <c r="H17" i="8"/>
  <c r="E19" i="8"/>
  <c r="F19" i="8" s="1"/>
  <c r="H25" i="8"/>
  <c r="E27" i="8"/>
  <c r="F27" i="8" s="1"/>
  <c r="E6" i="8"/>
  <c r="F6" i="8" s="1"/>
  <c r="E14" i="8"/>
  <c r="F14" i="8" s="1"/>
  <c r="E16" i="8"/>
  <c r="F16" i="8" s="1"/>
  <c r="E24" i="8"/>
  <c r="F24" i="8" s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" i="3"/>
  <c r="G4" i="3"/>
  <c r="G5" i="3"/>
  <c r="G6" i="3"/>
  <c r="G7" i="3"/>
  <c r="G8" i="3"/>
  <c r="G9" i="3"/>
  <c r="G10" i="3"/>
  <c r="H10" i="3" s="1"/>
  <c r="G11" i="3"/>
  <c r="G12" i="3"/>
  <c r="G13" i="3"/>
  <c r="H13" i="3" s="1"/>
  <c r="G14" i="3"/>
  <c r="G15" i="3"/>
  <c r="G16" i="3"/>
  <c r="G17" i="3"/>
  <c r="G18" i="3"/>
  <c r="H18" i="3" s="1"/>
  <c r="G19" i="3"/>
  <c r="G20" i="3"/>
  <c r="G21" i="3"/>
  <c r="H21" i="3" s="1"/>
  <c r="G22" i="3"/>
  <c r="G23" i="3"/>
  <c r="H23" i="3" s="1"/>
  <c r="G24" i="3"/>
  <c r="G25" i="3"/>
  <c r="G26" i="3"/>
  <c r="H26" i="3" s="1"/>
  <c r="G27" i="3"/>
  <c r="G28" i="3"/>
  <c r="G29" i="3"/>
  <c r="H29" i="3" s="1"/>
  <c r="G30" i="3"/>
  <c r="G31" i="3"/>
  <c r="H31" i="3" s="1"/>
  <c r="G32" i="3"/>
  <c r="G3" i="3"/>
  <c r="H3" i="3" s="1"/>
  <c r="D4" i="3"/>
  <c r="D5" i="3"/>
  <c r="D6" i="3"/>
  <c r="E6" i="3" s="1"/>
  <c r="D7" i="3"/>
  <c r="E7" i="3" s="1"/>
  <c r="D8" i="3"/>
  <c r="D9" i="3"/>
  <c r="D10" i="3"/>
  <c r="E10" i="3" s="1"/>
  <c r="D11" i="3"/>
  <c r="E11" i="3" s="1"/>
  <c r="D12" i="3"/>
  <c r="D13" i="3"/>
  <c r="D14" i="3"/>
  <c r="D15" i="3"/>
  <c r="D16" i="3"/>
  <c r="D17" i="3"/>
  <c r="D18" i="3"/>
  <c r="E18" i="3" s="1"/>
  <c r="D19" i="3"/>
  <c r="D20" i="3"/>
  <c r="D21" i="3"/>
  <c r="D22" i="3"/>
  <c r="D23" i="3"/>
  <c r="E23" i="3" s="1"/>
  <c r="D24" i="3"/>
  <c r="D25" i="3"/>
  <c r="D26" i="3"/>
  <c r="E26" i="3" s="1"/>
  <c r="D27" i="3"/>
  <c r="E27" i="3" s="1"/>
  <c r="D28" i="3"/>
  <c r="D29" i="3"/>
  <c r="D30" i="3"/>
  <c r="D31" i="3"/>
  <c r="E31" i="3" s="1"/>
  <c r="D32" i="3"/>
  <c r="D3" i="3"/>
  <c r="H15" i="3" l="1"/>
  <c r="H8" i="3"/>
  <c r="H7" i="3"/>
  <c r="H27" i="3"/>
  <c r="H11" i="3"/>
  <c r="H4" i="3"/>
  <c r="H5" i="3"/>
  <c r="H19" i="3"/>
  <c r="H32" i="3"/>
  <c r="H24" i="3"/>
  <c r="H16" i="3"/>
  <c r="H28" i="3"/>
  <c r="H20" i="3"/>
  <c r="H12" i="3"/>
  <c r="H30" i="3"/>
  <c r="H22" i="3"/>
  <c r="H14" i="3"/>
  <c r="H6" i="3"/>
  <c r="E15" i="3"/>
  <c r="E28" i="3"/>
  <c r="E20" i="3"/>
  <c r="E32" i="3"/>
  <c r="E24" i="3"/>
  <c r="E16" i="3"/>
  <c r="E8" i="3"/>
  <c r="E12" i="3"/>
  <c r="E25" i="3"/>
  <c r="E17" i="3"/>
  <c r="E9" i="3"/>
  <c r="E30" i="3"/>
  <c r="E22" i="3"/>
  <c r="E14" i="3"/>
  <c r="E19" i="3"/>
  <c r="E29" i="3"/>
  <c r="E21" i="3"/>
  <c r="E13" i="3"/>
  <c r="E5" i="3"/>
  <c r="E4" i="3"/>
  <c r="E3" i="3"/>
  <c r="H25" i="3"/>
  <c r="H17" i="3"/>
  <c r="H9" i="3"/>
</calcChain>
</file>

<file path=xl/sharedStrings.xml><?xml version="1.0" encoding="utf-8"?>
<sst xmlns="http://schemas.openxmlformats.org/spreadsheetml/2006/main" count="69" uniqueCount="34">
  <si>
    <t>Year</t>
  </si>
  <si>
    <t>LDS CdTe Production (GW)</t>
  </si>
  <si>
    <t>LDS CdTe Market Share (%)</t>
  </si>
  <si>
    <t>MDS CdTe Market Share (%)</t>
  </si>
  <si>
    <t>HDS CdTe Market Share (%)</t>
  </si>
  <si>
    <t>MDS CdTe Production (GW)</t>
  </si>
  <si>
    <t>Global PV Production (GW)</t>
  </si>
  <si>
    <t>HDS CdTe Production (GW)</t>
  </si>
  <si>
    <t>N/A</t>
  </si>
  <si>
    <r>
      <rPr>
        <b/>
        <sz val="11"/>
        <color theme="1"/>
        <rFont val="Calibri"/>
        <family val="2"/>
        <scheme val="minor"/>
      </rPr>
      <t xml:space="preserve">References
</t>
    </r>
    <r>
      <rPr>
        <sz val="11"/>
        <color theme="1"/>
        <rFont val="Calibri"/>
        <family val="2"/>
        <scheme val="minor"/>
      </rPr>
      <t xml:space="preserve">- The projected global PV Production was retrieved from the latest DNV ETO report (2021)
- The CdTe market share scenarios were adopted from Mohamad's calculation sheet
     - The CdTe PV market share in 2020 is estimated to be 3%
     -  In a low demand scenario, the CdTe PV market share was estimated to drop to 1% by 2050
     - In a medium development scenario, the CdTe PV market share was estimated to increase to 16.7% by 2040 and as such reach 23.9% by 2050 </t>
    </r>
    <r>
      <rPr>
        <i/>
        <u/>
        <sz val="10"/>
        <color theme="1"/>
        <rFont val="Calibri"/>
        <family val="2"/>
        <scheme val="minor"/>
      </rPr>
      <t>(Source: ﻿Dynamic analysis of the global metals flows and stocks in electricity generation technologies)</t>
    </r>
    <r>
      <rPr>
        <sz val="10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    - In a high development scenario, the CdTe PV market share was assumed to increase to 30% by 2050 </t>
    </r>
    <r>
      <rPr>
        <i/>
        <u/>
        <sz val="10"/>
        <color theme="1"/>
        <rFont val="Calibri"/>
        <family val="2"/>
        <scheme val="minor"/>
      </rPr>
      <t>(Source 1: Dynamic criticality of by-products used in thin-film photovoltaic technologies by 2050; Source 2: Considerations of resource availability in technology development strategies: The case study of photovoltaics)</t>
    </r>
    <r>
      <rPr>
        <sz val="11"/>
        <color theme="1"/>
        <rFont val="Calibri"/>
        <family val="2"/>
        <scheme val="minor"/>
      </rPr>
      <t xml:space="preserve">
All assumptions followed a linear interpolation across years due to the lack of insights and information on the potential growth drivers of the CdTe industry for the years between 2020 and 2050</t>
    </r>
  </si>
  <si>
    <t>MDS Incremental (GW)</t>
  </si>
  <si>
    <t>LDS Incremental (GW)</t>
  </si>
  <si>
    <t>HDS Incremental (GW)</t>
  </si>
  <si>
    <t>Annual Tellurium Demand</t>
  </si>
  <si>
    <t>Te Production Annual</t>
  </si>
  <si>
    <t>Te in the market Cumulative</t>
  </si>
  <si>
    <t>CdTe PV Production Capacity</t>
  </si>
  <si>
    <t>LDS Planned</t>
  </si>
  <si>
    <t>Te Price</t>
  </si>
  <si>
    <t>Actual CdTe PV Production</t>
  </si>
  <si>
    <t>LDS - Planned CdTe PV Production Capacity (GW)</t>
  </si>
  <si>
    <t>Annual Production Gap</t>
  </si>
  <si>
    <t>HDS Planned</t>
  </si>
  <si>
    <t>HDS - Planned CdTe PV Production Capacity (GW)</t>
  </si>
  <si>
    <t>MDS Planned</t>
  </si>
  <si>
    <t>MDS - Planned CdTe PV Production Capacity (GW)</t>
  </si>
  <si>
    <t>PV Demand</t>
  </si>
  <si>
    <t>Non-PV Demand</t>
  </si>
  <si>
    <t>Total Te Demand</t>
  </si>
  <si>
    <t>Percentage PV Demand (%)</t>
  </si>
  <si>
    <t>Percentage non-PV Demand (%)</t>
  </si>
  <si>
    <t>Recycled Content</t>
  </si>
  <si>
    <t>Recycling contribution to total demand (%)</t>
  </si>
  <si>
    <t>Recycling contribution to PV demand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</si>
</sst>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43" fontId="2" fillId="3" borderId="1" xfId="1" applyFont="1" applyFill="1" applyBorder="1" applyAlignment="1">
      <alignment horizontal="center"/>
    </xf>
    <xf numFmtId="0" fontId="2" fillId="3" borderId="1" xfId="0" applyFont="1" applyFill="1" applyBorder="1"/>
    <xf numFmtId="43" fontId="0" fillId="0" borderId="1" xfId="1" applyFont="1" applyBorder="1"/>
    <xf numFmtId="0" fontId="2" fillId="0" borderId="0" xfId="0" applyFont="1"/>
    <xf numFmtId="43" fontId="0" fillId="0" borderId="0" xfId="1" applyFont="1"/>
    <xf numFmtId="2" fontId="0" fillId="0" borderId="0" xfId="0" applyNumberFormat="1" applyAlignment="1">
      <alignment horizontal="center" vertical="center"/>
    </xf>
    <xf numFmtId="43" fontId="2" fillId="3" borderId="1" xfId="1" applyFont="1" applyFill="1" applyBorder="1"/>
    <xf numFmtId="43" fontId="0" fillId="0" borderId="1" xfId="0" applyNumberFormat="1" applyBorder="1"/>
    <xf numFmtId="43" fontId="2" fillId="0" borderId="1" xfId="1" applyFont="1" applyBorder="1"/>
    <xf numFmtId="43" fontId="2" fillId="3" borderId="1" xfId="1" applyFont="1" applyFill="1" applyBorder="1" applyAlignment="1">
      <alignment horizontal="center" vertical="center"/>
    </xf>
    <xf numFmtId="0" fontId="2" fillId="3" borderId="1" xfId="1" applyNumberFormat="1" applyFont="1" applyFill="1" applyBorder="1"/>
    <xf numFmtId="43" fontId="2" fillId="0" borderId="0" xfId="1" applyFont="1"/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9" fontId="0" fillId="0" borderId="1" xfId="3" applyFont="1" applyBorder="1" applyAlignment="1">
      <alignment horizontal="center"/>
    </xf>
    <xf numFmtId="9" fontId="0" fillId="0" borderId="1" xfId="3" applyFont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/>
    </xf>
    <xf numFmtId="2" fontId="0" fillId="0" borderId="1" xfId="0" applyNumberFormat="1" applyBorder="1"/>
  </cellXfs>
  <cellStyles count="4">
    <cellStyle name="Comma" xfId="1" builtinId="3"/>
    <cellStyle name="Normal" xfId="0" builtinId="0"/>
    <cellStyle name="Normal 2" xfId="2" xr:uid="{CB181D02-823A-4C58-B24B-FC7F040289C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v>PV Demand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[2]LDS!$A$2:$A$29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[2]LDS!$E$2:$E$29</c:f>
              <c:numCache>
                <c:formatCode>0.00</c:formatCode>
                <c:ptCount val="28"/>
                <c:pt idx="0">
                  <c:v>46.296296296296298</c:v>
                </c:pt>
                <c:pt idx="1">
                  <c:v>59.91593920978552</c:v>
                </c:pt>
                <c:pt idx="2">
                  <c:v>60.98960427511566</c:v>
                </c:pt>
                <c:pt idx="3">
                  <c:v>62.4169914912043</c:v>
                </c:pt>
                <c:pt idx="4">
                  <c:v>63.351795641937606</c:v>
                </c:pt>
                <c:pt idx="5">
                  <c:v>64.012016847159231</c:v>
                </c:pt>
                <c:pt idx="6">
                  <c:v>64.794376514172626</c:v>
                </c:pt>
                <c:pt idx="7">
                  <c:v>65.754268274042019</c:v>
                </c:pt>
                <c:pt idx="8">
                  <c:v>66.813561947768832</c:v>
                </c:pt>
                <c:pt idx="9">
                  <c:v>67.52230877051781</c:v>
                </c:pt>
                <c:pt idx="10">
                  <c:v>68.038283073040361</c:v>
                </c:pt>
                <c:pt idx="11">
                  <c:v>68.640840911109905</c:v>
                </c:pt>
                <c:pt idx="12">
                  <c:v>69.394086806914487</c:v>
                </c:pt>
                <c:pt idx="13">
                  <c:v>69.757500236946953</c:v>
                </c:pt>
                <c:pt idx="14">
                  <c:v>68.625702932178839</c:v>
                </c:pt>
                <c:pt idx="15">
                  <c:v>67.475702176754055</c:v>
                </c:pt>
                <c:pt idx="16">
                  <c:v>66.308602690810204</c:v>
                </c:pt>
                <c:pt idx="17">
                  <c:v>65.125579121123323</c:v>
                </c:pt>
                <c:pt idx="18">
                  <c:v>64.238429028931748</c:v>
                </c:pt>
                <c:pt idx="19">
                  <c:v>50.901554445626012</c:v>
                </c:pt>
                <c:pt idx="20">
                  <c:v>49.930751618844361</c:v>
                </c:pt>
                <c:pt idx="21">
                  <c:v>48.96000100032709</c:v>
                </c:pt>
                <c:pt idx="22">
                  <c:v>47.990034127946089</c:v>
                </c:pt>
                <c:pt idx="23">
                  <c:v>47.021580178926541</c:v>
                </c:pt>
                <c:pt idx="24">
                  <c:v>46.055363781528669</c:v>
                </c:pt>
                <c:pt idx="25">
                  <c:v>46.651931848911438</c:v>
                </c:pt>
                <c:pt idx="26">
                  <c:v>47.314123094320827</c:v>
                </c:pt>
                <c:pt idx="27">
                  <c:v>47.790305349016393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7-4B44-9489-27F077C197BF}"/>
            </c:ext>
          </c:extLst>
        </c:ser>
        <c:ser>
          <c:idx val="1"/>
          <c:order val="1"/>
          <c:tx>
            <c:v>Non-PV Demand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[2]LDS!$A$2:$A$29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[2]LDS!$F$2:$F$29</c:f>
              <c:numCache>
                <c:formatCode>0.00</c:formatCode>
                <c:ptCount val="28"/>
                <c:pt idx="0">
                  <c:v>53.703703703703702</c:v>
                </c:pt>
                <c:pt idx="1">
                  <c:v>40.08406079021448</c:v>
                </c:pt>
                <c:pt idx="2">
                  <c:v>39.01039572488434</c:v>
                </c:pt>
                <c:pt idx="3">
                  <c:v>37.5830085087957</c:v>
                </c:pt>
                <c:pt idx="4">
                  <c:v>36.648204358062394</c:v>
                </c:pt>
                <c:pt idx="5">
                  <c:v>35.987983152840769</c:v>
                </c:pt>
                <c:pt idx="6">
                  <c:v>35.205623485827374</c:v>
                </c:pt>
                <c:pt idx="7">
                  <c:v>34.245731725957981</c:v>
                </c:pt>
                <c:pt idx="8">
                  <c:v>33.186438052231168</c:v>
                </c:pt>
                <c:pt idx="9">
                  <c:v>32.47769122948219</c:v>
                </c:pt>
                <c:pt idx="10">
                  <c:v>31.961716926959639</c:v>
                </c:pt>
                <c:pt idx="11">
                  <c:v>31.359159088890095</c:v>
                </c:pt>
                <c:pt idx="12">
                  <c:v>30.605913193085513</c:v>
                </c:pt>
                <c:pt idx="13">
                  <c:v>30.242499763053047</c:v>
                </c:pt>
                <c:pt idx="14">
                  <c:v>31.374297067821161</c:v>
                </c:pt>
                <c:pt idx="15">
                  <c:v>32.524297823245945</c:v>
                </c:pt>
                <c:pt idx="16">
                  <c:v>33.691397309189796</c:v>
                </c:pt>
                <c:pt idx="17">
                  <c:v>34.874420878876677</c:v>
                </c:pt>
                <c:pt idx="18">
                  <c:v>35.761570971068252</c:v>
                </c:pt>
                <c:pt idx="19">
                  <c:v>49.098445554373988</c:v>
                </c:pt>
                <c:pt idx="20">
                  <c:v>50.069248381155639</c:v>
                </c:pt>
                <c:pt idx="21">
                  <c:v>51.03999899967291</c:v>
                </c:pt>
                <c:pt idx="22">
                  <c:v>52.009965872053911</c:v>
                </c:pt>
                <c:pt idx="23">
                  <c:v>52.978419821073459</c:v>
                </c:pt>
                <c:pt idx="24">
                  <c:v>53.944636218471331</c:v>
                </c:pt>
                <c:pt idx="25">
                  <c:v>53.348068151088562</c:v>
                </c:pt>
                <c:pt idx="26">
                  <c:v>52.685876905679173</c:v>
                </c:pt>
                <c:pt idx="27">
                  <c:v>52.209694650983607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7-4B44-9489-27F077C1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11135"/>
        <c:axId val="1114698831"/>
      </c:areaChart>
      <c:lineChart>
        <c:grouping val="standard"/>
        <c:varyColors val="0"/>
        <c:ser>
          <c:idx val="2"/>
          <c:order val="2"/>
          <c:tx>
            <c:v>Recycling Contribution to Total Demand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[2]LDS!$A$2:$A$29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[2]LDS!$H$2:$H$29</c:f>
              <c:numCache>
                <c:formatCode>0%</c:formatCode>
                <c:ptCount val="28"/>
                <c:pt idx="0">
                  <c:v>4.39082390625E-2</c:v>
                </c:pt>
                <c:pt idx="1">
                  <c:v>3.8919052419716715E-2</c:v>
                </c:pt>
                <c:pt idx="2">
                  <c:v>4.1278360678894919E-2</c:v>
                </c:pt>
                <c:pt idx="3">
                  <c:v>4.5488222688907592E-2</c:v>
                </c:pt>
                <c:pt idx="4">
                  <c:v>4.6378804903979547E-2</c:v>
                </c:pt>
                <c:pt idx="5">
                  <c:v>4.6478078194473367E-2</c:v>
                </c:pt>
                <c:pt idx="6">
                  <c:v>4.8660525316161433E-2</c:v>
                </c:pt>
                <c:pt idx="7">
                  <c:v>4.9363883684212621E-2</c:v>
                </c:pt>
                <c:pt idx="8">
                  <c:v>5.2397936378933807E-2</c:v>
                </c:pt>
                <c:pt idx="9">
                  <c:v>6.3692180074553781E-2</c:v>
                </c:pt>
                <c:pt idx="10">
                  <c:v>6.6393689405727874E-2</c:v>
                </c:pt>
                <c:pt idx="11">
                  <c:v>0.10474006918163628</c:v>
                </c:pt>
                <c:pt idx="12">
                  <c:v>9.6966390701719279E-2</c:v>
                </c:pt>
                <c:pt idx="13">
                  <c:v>8.8797731777745581E-2</c:v>
                </c:pt>
                <c:pt idx="14">
                  <c:v>8.6361559676256236E-2</c:v>
                </c:pt>
                <c:pt idx="15">
                  <c:v>8.4940154678923671E-2</c:v>
                </c:pt>
                <c:pt idx="16">
                  <c:v>8.2762057880901505E-2</c:v>
                </c:pt>
                <c:pt idx="17">
                  <c:v>8.2756448174009706E-2</c:v>
                </c:pt>
                <c:pt idx="18">
                  <c:v>8.3430401121622644E-2</c:v>
                </c:pt>
                <c:pt idx="19">
                  <c:v>0.11412766973456714</c:v>
                </c:pt>
                <c:pt idx="20">
                  <c:v>0.11980134977188939</c:v>
                </c:pt>
                <c:pt idx="21">
                  <c:v>0.12228464884924711</c:v>
                </c:pt>
                <c:pt idx="22">
                  <c:v>0.13682392960733858</c:v>
                </c:pt>
                <c:pt idx="23">
                  <c:v>0.10773066212382847</c:v>
                </c:pt>
                <c:pt idx="24">
                  <c:v>8.7570296411975432E-2</c:v>
                </c:pt>
                <c:pt idx="25">
                  <c:v>0.10221211458850309</c:v>
                </c:pt>
                <c:pt idx="26">
                  <c:v>0.11750460671147799</c:v>
                </c:pt>
                <c:pt idx="27" formatCode="0.00%">
                  <c:v>0.1337111953693837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07-4B44-9489-27F077C1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452687"/>
        <c:axId val="767262255"/>
      </c:lineChart>
      <c:catAx>
        <c:axId val="43911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98831"/>
        <c:crosses val="autoZero"/>
        <c:auto val="1"/>
        <c:lblAlgn val="ctr"/>
        <c:lblOffset val="100"/>
        <c:noMultiLvlLbl val="0"/>
      </c:catAx>
      <c:valAx>
        <c:axId val="111469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1135"/>
        <c:crosses val="autoZero"/>
        <c:crossBetween val="between"/>
      </c:valAx>
      <c:valAx>
        <c:axId val="767262255"/>
        <c:scaling>
          <c:orientation val="minMax"/>
          <c:max val="2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52687"/>
        <c:crosses val="max"/>
        <c:crossBetween val="between"/>
      </c:valAx>
      <c:catAx>
        <c:axId val="2051452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7262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v>PV Demand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[2]BaU!$A$2:$A$29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[2]BaU!$E$2:$E$29</c:f>
              <c:numCache>
                <c:formatCode>0.00</c:formatCode>
                <c:ptCount val="28"/>
                <c:pt idx="0">
                  <c:v>46.296296296296298</c:v>
                </c:pt>
                <c:pt idx="1">
                  <c:v>63.866706599146511</c:v>
                </c:pt>
                <c:pt idx="2">
                  <c:v>66.138640997712898</c:v>
                </c:pt>
                <c:pt idx="3">
                  <c:v>68.585922457386374</c:v>
                </c:pt>
                <c:pt idx="4">
                  <c:v>70.435295344980773</c:v>
                </c:pt>
                <c:pt idx="5">
                  <c:v>71.928549692814954</c:v>
                </c:pt>
                <c:pt idx="6">
                  <c:v>73.431632329396734</c:v>
                </c:pt>
                <c:pt idx="7">
                  <c:v>75.56454906327366</c:v>
                </c:pt>
                <c:pt idx="8">
                  <c:v>73.503862531514315</c:v>
                </c:pt>
                <c:pt idx="9">
                  <c:v>75.338562620025144</c:v>
                </c:pt>
                <c:pt idx="10">
                  <c:v>74.609927351678749</c:v>
                </c:pt>
                <c:pt idx="11">
                  <c:v>73.867231578757938</c:v>
                </c:pt>
                <c:pt idx="12">
                  <c:v>73.110640537189497</c:v>
                </c:pt>
                <c:pt idx="13">
                  <c:v>72.34034704146616</c:v>
                </c:pt>
                <c:pt idx="14">
                  <c:v>71.556571982074459</c:v>
                </c:pt>
                <c:pt idx="15">
                  <c:v>70.75956472607578</c:v>
                </c:pt>
                <c:pt idx="16">
                  <c:v>69.949603413057929</c:v>
                </c:pt>
                <c:pt idx="17">
                  <c:v>71.713158974478631</c:v>
                </c:pt>
                <c:pt idx="18">
                  <c:v>67.480126969488538</c:v>
                </c:pt>
                <c:pt idx="19">
                  <c:v>69.47867025098796</c:v>
                </c:pt>
                <c:pt idx="20">
                  <c:v>70.992241693516576</c:v>
                </c:pt>
                <c:pt idx="21">
                  <c:v>72.27574175404223</c:v>
                </c:pt>
                <c:pt idx="22">
                  <c:v>73.544657867790932</c:v>
                </c:pt>
                <c:pt idx="23">
                  <c:v>74.611829614448851</c:v>
                </c:pt>
                <c:pt idx="24">
                  <c:v>75.558994317401641</c:v>
                </c:pt>
                <c:pt idx="25">
                  <c:v>76.549351055581681</c:v>
                </c:pt>
                <c:pt idx="26">
                  <c:v>77.545739412352461</c:v>
                </c:pt>
                <c:pt idx="2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0-49C2-B6E0-6C25E46AB82C}"/>
            </c:ext>
          </c:extLst>
        </c:ser>
        <c:ser>
          <c:idx val="1"/>
          <c:order val="1"/>
          <c:tx>
            <c:v>Non-PV Demand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[2]BaU!$A$2:$A$29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[2]BaU!$F$2:$F$29</c:f>
              <c:numCache>
                <c:formatCode>0.00</c:formatCode>
                <c:ptCount val="28"/>
                <c:pt idx="0">
                  <c:v>53.703703703703702</c:v>
                </c:pt>
                <c:pt idx="1">
                  <c:v>36.133293400853489</c:v>
                </c:pt>
                <c:pt idx="2">
                  <c:v>33.861359002287102</c:v>
                </c:pt>
                <c:pt idx="3">
                  <c:v>31.414077542613626</c:v>
                </c:pt>
                <c:pt idx="4">
                  <c:v>29.564704655019227</c:v>
                </c:pt>
                <c:pt idx="5">
                  <c:v>28.071450307185046</c:v>
                </c:pt>
                <c:pt idx="6">
                  <c:v>26.568367670603266</c:v>
                </c:pt>
                <c:pt idx="7">
                  <c:v>24.43545093672634</c:v>
                </c:pt>
                <c:pt idx="8">
                  <c:v>26.496137468485685</c:v>
                </c:pt>
                <c:pt idx="9">
                  <c:v>24.661437379974856</c:v>
                </c:pt>
                <c:pt idx="10">
                  <c:v>25.390072648321251</c:v>
                </c:pt>
                <c:pt idx="11">
                  <c:v>26.132768421242062</c:v>
                </c:pt>
                <c:pt idx="12">
                  <c:v>26.889359462810503</c:v>
                </c:pt>
                <c:pt idx="13">
                  <c:v>27.65965295853384</c:v>
                </c:pt>
                <c:pt idx="14">
                  <c:v>28.443428017925541</c:v>
                </c:pt>
                <c:pt idx="15">
                  <c:v>29.24043527392422</c:v>
                </c:pt>
                <c:pt idx="16">
                  <c:v>30.050396586942071</c:v>
                </c:pt>
                <c:pt idx="17">
                  <c:v>28.286841025521369</c:v>
                </c:pt>
                <c:pt idx="18">
                  <c:v>32.519873030511462</c:v>
                </c:pt>
                <c:pt idx="19">
                  <c:v>30.52132974901204</c:v>
                </c:pt>
                <c:pt idx="20">
                  <c:v>29.007758306483424</c:v>
                </c:pt>
                <c:pt idx="21">
                  <c:v>27.72425824595777</c:v>
                </c:pt>
                <c:pt idx="22">
                  <c:v>26.455342132209068</c:v>
                </c:pt>
                <c:pt idx="23">
                  <c:v>25.388170385551149</c:v>
                </c:pt>
                <c:pt idx="24">
                  <c:v>24.441005682598359</c:v>
                </c:pt>
                <c:pt idx="25">
                  <c:v>23.450648944418319</c:v>
                </c:pt>
                <c:pt idx="26">
                  <c:v>22.454260587647539</c:v>
                </c:pt>
                <c:pt idx="2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0-49C2-B6E0-6C25E46AB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11135"/>
        <c:axId val="1114698831"/>
      </c:areaChart>
      <c:lineChart>
        <c:grouping val="standard"/>
        <c:varyColors val="0"/>
        <c:ser>
          <c:idx val="2"/>
          <c:order val="2"/>
          <c:tx>
            <c:v>Recycling Contribution to Total Demand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[2]BaU!$A$2:$A$29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[2]BaU!$H$2:$H$29</c:f>
              <c:numCache>
                <c:formatCode>0%</c:formatCode>
                <c:ptCount val="28"/>
                <c:pt idx="0">
                  <c:v>4.39082390625E-2</c:v>
                </c:pt>
                <c:pt idx="1">
                  <c:v>3.5083111137206961E-2</c:v>
                </c:pt>
                <c:pt idx="2">
                  <c:v>3.5829990744580223E-2</c:v>
                </c:pt>
                <c:pt idx="3">
                  <c:v>3.8021876914451511E-2</c:v>
                </c:pt>
                <c:pt idx="4">
                  <c:v>3.7415279824568236E-2</c:v>
                </c:pt>
                <c:pt idx="5">
                  <c:v>3.625643533182224E-2</c:v>
                </c:pt>
                <c:pt idx="6">
                  <c:v>3.6728857915919205E-2</c:v>
                </c:pt>
                <c:pt idx="7">
                  <c:v>3.5237339100864726E-2</c:v>
                </c:pt>
                <c:pt idx="8">
                  <c:v>4.1868667614272964E-2</c:v>
                </c:pt>
                <c:pt idx="9">
                  <c:v>4.8425997808870011E-2</c:v>
                </c:pt>
                <c:pt idx="10">
                  <c:v>5.2860151255673477E-2</c:v>
                </c:pt>
                <c:pt idx="11">
                  <c:v>8.749335814173835E-2</c:v>
                </c:pt>
                <c:pt idx="12">
                  <c:v>8.5546508338977922E-2</c:v>
                </c:pt>
                <c:pt idx="13">
                  <c:v>8.1790225096292121E-2</c:v>
                </c:pt>
                <c:pt idx="14">
                  <c:v>7.91948191717569E-2</c:v>
                </c:pt>
                <c:pt idx="15">
                  <c:v>7.7726122462729766E-2</c:v>
                </c:pt>
                <c:pt idx="16">
                  <c:v>7.5816865165522468E-2</c:v>
                </c:pt>
                <c:pt idx="17">
                  <c:v>6.9740134336127912E-2</c:v>
                </c:pt>
                <c:pt idx="18">
                  <c:v>7.9948551645367835E-2</c:v>
                </c:pt>
                <c:pt idx="19">
                  <c:v>7.6028978141205003E-2</c:v>
                </c:pt>
                <c:pt idx="20">
                  <c:v>7.5689066827596338E-2</c:v>
                </c:pt>
                <c:pt idx="21">
                  <c:v>7.4083374399096652E-2</c:v>
                </c:pt>
                <c:pt idx="22">
                  <c:v>7.8758319867451826E-2</c:v>
                </c:pt>
                <c:pt idx="23">
                  <c:v>6.2463961131100504E-2</c:v>
                </c:pt>
                <c:pt idx="24">
                  <c:v>5.2335050250748652E-2</c:v>
                </c:pt>
                <c:pt idx="25">
                  <c:v>5.9447273527184638E-2</c:v>
                </c:pt>
                <c:pt idx="26">
                  <c:v>6.6454819303190624E-2</c:v>
                </c:pt>
                <c:pt idx="27" formatCode="0.00%">
                  <c:v>0.1704149464085784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10-49C2-B6E0-6C25E46AB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452687"/>
        <c:axId val="767262255"/>
      </c:lineChart>
      <c:catAx>
        <c:axId val="43911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98831"/>
        <c:crosses val="autoZero"/>
        <c:auto val="1"/>
        <c:lblAlgn val="ctr"/>
        <c:lblOffset val="100"/>
        <c:noMultiLvlLbl val="0"/>
      </c:catAx>
      <c:valAx>
        <c:axId val="111469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1135"/>
        <c:crosses val="autoZero"/>
        <c:crossBetween val="between"/>
      </c:valAx>
      <c:valAx>
        <c:axId val="767262255"/>
        <c:scaling>
          <c:orientation val="minMax"/>
          <c:max val="2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52687"/>
        <c:crosses val="max"/>
        <c:crossBetween val="between"/>
      </c:valAx>
      <c:catAx>
        <c:axId val="2051452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7262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v>PV Demand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[2]HDS!$A$2:$A$29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[2]HDS!$E$2:$E$29</c:f>
              <c:numCache>
                <c:formatCode>0.00</c:formatCode>
                <c:ptCount val="28"/>
                <c:pt idx="0">
                  <c:v>46.296296296296298</c:v>
                </c:pt>
                <c:pt idx="1">
                  <c:v>66.450378142423219</c:v>
                </c:pt>
                <c:pt idx="2">
                  <c:v>70.544164459295459</c:v>
                </c:pt>
                <c:pt idx="3">
                  <c:v>74.34873170591186</c:v>
                </c:pt>
                <c:pt idx="4">
                  <c:v>77.248040405354175</c:v>
                </c:pt>
                <c:pt idx="5">
                  <c:v>79.569802404301427</c:v>
                </c:pt>
                <c:pt idx="6">
                  <c:v>81.67286133106488</c:v>
                </c:pt>
                <c:pt idx="7">
                  <c:v>83.622888069188548</c:v>
                </c:pt>
                <c:pt idx="8">
                  <c:v>74.663983555429098</c:v>
                </c:pt>
                <c:pt idx="9">
                  <c:v>73.922316334627524</c:v>
                </c:pt>
                <c:pt idx="10">
                  <c:v>73.166740762903245</c:v>
                </c:pt>
                <c:pt idx="11">
                  <c:v>72.397447608926129</c:v>
                </c:pt>
                <c:pt idx="12">
                  <c:v>71.61465568386798</c:v>
                </c:pt>
                <c:pt idx="13">
                  <c:v>70.818612249561582</c:v>
                </c:pt>
                <c:pt idx="14">
                  <c:v>70.009593322308817</c:v>
                </c:pt>
                <c:pt idx="15">
                  <c:v>69.187903866160397</c:v>
                </c:pt>
                <c:pt idx="16">
                  <c:v>68.353877868771363</c:v>
                </c:pt>
                <c:pt idx="17">
                  <c:v>71.208586740504771</c:v>
                </c:pt>
                <c:pt idx="18">
                  <c:v>73.506061229439752</c:v>
                </c:pt>
                <c:pt idx="19">
                  <c:v>75.44269936777097</c:v>
                </c:pt>
                <c:pt idx="20">
                  <c:v>77.288515956034459</c:v>
                </c:pt>
                <c:pt idx="21">
                  <c:v>71.6329848893714</c:v>
                </c:pt>
                <c:pt idx="22">
                  <c:v>71.349963581017249</c:v>
                </c:pt>
                <c:pt idx="23">
                  <c:v>70.371670715641429</c:v>
                </c:pt>
                <c:pt idx="24">
                  <c:v>69.524451577169785</c:v>
                </c:pt>
                <c:pt idx="25">
                  <c:v>69.327912116164114</c:v>
                </c:pt>
                <c:pt idx="26">
                  <c:v>69.170685153042797</c:v>
                </c:pt>
                <c:pt idx="27">
                  <c:v>69.044838154745577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2-4A1D-B86F-11AE3158E443}"/>
            </c:ext>
          </c:extLst>
        </c:ser>
        <c:ser>
          <c:idx val="1"/>
          <c:order val="1"/>
          <c:tx>
            <c:v>Non-PV Demand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[2]HDS!$A$2:$A$29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[2]HDS!$F$2:$F$29</c:f>
              <c:numCache>
                <c:formatCode>0.00</c:formatCode>
                <c:ptCount val="28"/>
                <c:pt idx="0">
                  <c:v>53.703703703703702</c:v>
                </c:pt>
                <c:pt idx="1">
                  <c:v>33.549621857576781</c:v>
                </c:pt>
                <c:pt idx="2">
                  <c:v>29.455835540704541</c:v>
                </c:pt>
                <c:pt idx="3">
                  <c:v>25.65126829408814</c:v>
                </c:pt>
                <c:pt idx="4">
                  <c:v>22.751959594645825</c:v>
                </c:pt>
                <c:pt idx="5">
                  <c:v>20.430197595698573</c:v>
                </c:pt>
                <c:pt idx="6">
                  <c:v>18.32713866893512</c:v>
                </c:pt>
                <c:pt idx="7">
                  <c:v>16.377111930811452</c:v>
                </c:pt>
                <c:pt idx="8">
                  <c:v>25.336016444570902</c:v>
                </c:pt>
                <c:pt idx="9">
                  <c:v>26.077683665372476</c:v>
                </c:pt>
                <c:pt idx="10">
                  <c:v>26.833259237096755</c:v>
                </c:pt>
                <c:pt idx="11">
                  <c:v>27.602552391073871</c:v>
                </c:pt>
                <c:pt idx="12">
                  <c:v>28.38534431613202</c:v>
                </c:pt>
                <c:pt idx="13">
                  <c:v>29.181387750438418</c:v>
                </c:pt>
                <c:pt idx="14">
                  <c:v>29.990406677691183</c:v>
                </c:pt>
                <c:pt idx="15">
                  <c:v>30.812096133839603</c:v>
                </c:pt>
                <c:pt idx="16">
                  <c:v>31.646122131228637</c:v>
                </c:pt>
                <c:pt idx="17">
                  <c:v>28.791413259495229</c:v>
                </c:pt>
                <c:pt idx="18">
                  <c:v>26.493938770560248</c:v>
                </c:pt>
                <c:pt idx="19">
                  <c:v>24.55730063222903</c:v>
                </c:pt>
                <c:pt idx="20">
                  <c:v>22.711484043965541</c:v>
                </c:pt>
                <c:pt idx="21">
                  <c:v>28.3670151106286</c:v>
                </c:pt>
                <c:pt idx="22">
                  <c:v>28.650036418982751</c:v>
                </c:pt>
                <c:pt idx="23">
                  <c:v>29.628329284358571</c:v>
                </c:pt>
                <c:pt idx="24">
                  <c:v>30.475548422830215</c:v>
                </c:pt>
                <c:pt idx="25">
                  <c:v>30.672087883835886</c:v>
                </c:pt>
                <c:pt idx="26">
                  <c:v>30.829314846957203</c:v>
                </c:pt>
                <c:pt idx="27">
                  <c:v>30.955161845254423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42-4A1D-B86F-11AE3158E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11135"/>
        <c:axId val="1114698831"/>
      </c:areaChart>
      <c:lineChart>
        <c:grouping val="standard"/>
        <c:varyColors val="0"/>
        <c:ser>
          <c:idx val="2"/>
          <c:order val="2"/>
          <c:tx>
            <c:v>Recycling Contribution to Total Demand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[2]HDS!$A$2:$A$29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[2]HDS!$H$2:$H$29</c:f>
              <c:numCache>
                <c:formatCode>0%</c:formatCode>
                <c:ptCount val="28"/>
                <c:pt idx="0">
                  <c:v>4.39082390625E-2</c:v>
                </c:pt>
                <c:pt idx="1">
                  <c:v>3.2574531770968501E-2</c:v>
                </c:pt>
                <c:pt idx="2">
                  <c:v>3.116834106372424E-2</c:v>
                </c:pt>
                <c:pt idx="3">
                  <c:v>3.104691906990336E-2</c:v>
                </c:pt>
                <c:pt idx="4">
                  <c:v>2.8793690855880127E-2</c:v>
                </c:pt>
                <c:pt idx="5">
                  <c:v>2.6388029688282175E-2</c:v>
                </c:pt>
                <c:pt idx="6">
                  <c:v>2.533863127499697E-2</c:v>
                </c:pt>
                <c:pt idx="7">
                  <c:v>2.3623530332657908E-2</c:v>
                </c:pt>
                <c:pt idx="8">
                  <c:v>4.0061128356451536E-2</c:v>
                </c:pt>
                <c:pt idx="9">
                  <c:v>5.1264730796632685E-2</c:v>
                </c:pt>
                <c:pt idx="10">
                  <c:v>5.5983571390729514E-2</c:v>
                </c:pt>
                <c:pt idx="11">
                  <c:v>9.2640847787465189E-2</c:v>
                </c:pt>
                <c:pt idx="12">
                  <c:v>9.0710373115246115E-2</c:v>
                </c:pt>
                <c:pt idx="13">
                  <c:v>8.6971560941113385E-2</c:v>
                </c:pt>
                <c:pt idx="14">
                  <c:v>8.4594196972157656E-2</c:v>
                </c:pt>
                <c:pt idx="15">
                  <c:v>8.3579241415950509E-2</c:v>
                </c:pt>
                <c:pt idx="16">
                  <c:v>8.2317229675386433E-2</c:v>
                </c:pt>
                <c:pt idx="17">
                  <c:v>7.4116426839992977E-2</c:v>
                </c:pt>
                <c:pt idx="18">
                  <c:v>6.902971748303395E-2</c:v>
                </c:pt>
                <c:pt idx="19">
                  <c:v>6.5927836256111844E-2</c:v>
                </c:pt>
                <c:pt idx="20">
                  <c:v>6.4918042113344718E-2</c:v>
                </c:pt>
                <c:pt idx="21">
                  <c:v>8.4698918560345809E-2</c:v>
                </c:pt>
                <c:pt idx="22">
                  <c:v>9.6385765865545009E-2</c:v>
                </c:pt>
                <c:pt idx="23">
                  <c:v>8.67975285049703E-2</c:v>
                </c:pt>
                <c:pt idx="24">
                  <c:v>8.2277702070845615E-2</c:v>
                </c:pt>
                <c:pt idx="25">
                  <c:v>9.7797720706946492E-2</c:v>
                </c:pt>
                <c:pt idx="26">
                  <c:v>0.11441693047229318</c:v>
                </c:pt>
                <c:pt idx="27">
                  <c:v>0.13181896042827701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42-4A1D-B86F-11AE3158E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1452687"/>
        <c:axId val="767262255"/>
      </c:lineChart>
      <c:catAx>
        <c:axId val="43911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98831"/>
        <c:crosses val="autoZero"/>
        <c:auto val="1"/>
        <c:lblAlgn val="ctr"/>
        <c:lblOffset val="100"/>
        <c:noMultiLvlLbl val="0"/>
      </c:catAx>
      <c:valAx>
        <c:axId val="111469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1135"/>
        <c:crosses val="autoZero"/>
        <c:crossBetween val="between"/>
      </c:valAx>
      <c:valAx>
        <c:axId val="767262255"/>
        <c:scaling>
          <c:orientation val="minMax"/>
          <c:max val="2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52687"/>
        <c:crosses val="max"/>
        <c:crossBetween val="between"/>
      </c:valAx>
      <c:catAx>
        <c:axId val="2051452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7262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1</xdr:row>
      <xdr:rowOff>61912</xdr:rowOff>
    </xdr:from>
    <xdr:to>
      <xdr:col>19</xdr:col>
      <xdr:colOff>266700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CB1D8-42D7-4DE9-8A2C-CFCBAE609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1</xdr:row>
      <xdr:rowOff>61912</xdr:rowOff>
    </xdr:from>
    <xdr:to>
      <xdr:col>19</xdr:col>
      <xdr:colOff>266700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36E80-8B3A-42C8-81CA-A9B8783F5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1</xdr:row>
      <xdr:rowOff>61912</xdr:rowOff>
    </xdr:from>
    <xdr:to>
      <xdr:col>19</xdr:col>
      <xdr:colOff>266700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BE82D-5A6C-4ED2-9A1B-B54DBCD7F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\Dropbox\MSU_Francis\NSF\Work_Francis\System%20Dynamics%20Model\Working\Manuscript\Submission%20Folder\7-%20Supporting%20Documents\SD4-%20Recycling%20Results.xlsx" TargetMode="External"/><Relationship Id="rId1" Type="http://schemas.openxmlformats.org/officeDocument/2006/relationships/externalLinkPath" Target="/Users/Hi/Dropbox/MSU_Francis/NSF/Work_Francis/System%20Dynamics%20Model/Working/Manuscript/Submission%20Folder/7-%20Supporting%20Documents/SD4-%20Recycling%20Resul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\Dropbox\MSU_Francis\Papers\Chapter%201%20-%20Te%20Availability%20(Submitted)\2-%20Revision%20(Progress%20in%20Photovoltaics)\Revised%20Figures\Revised%20Recycling%20Results.xlsx" TargetMode="External"/><Relationship Id="rId1" Type="http://schemas.openxmlformats.org/officeDocument/2006/relationships/externalLinkPath" Target="Revised%20Figures/Revised%20Recycling%20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 Summary"/>
    </sheetNames>
    <sheetDataSet>
      <sheetData sheetId="0">
        <row r="3">
          <cell r="A3">
            <v>2023</v>
          </cell>
          <cell r="C3">
            <v>464.85435843200003</v>
          </cell>
          <cell r="E3">
            <v>812.85435843200003</v>
          </cell>
          <cell r="F3">
            <v>3.5003243345320907E-2</v>
          </cell>
          <cell r="G3">
            <v>6.1207426361394655</v>
          </cell>
          <cell r="I3">
            <v>517.51076100099999</v>
          </cell>
          <cell r="K3">
            <v>865.51076100099999</v>
          </cell>
          <cell r="L3">
            <v>3.2873697468063172E-2</v>
          </cell>
          <cell r="M3">
            <v>5.4979608264503357</v>
          </cell>
          <cell r="O3">
            <v>522.77278035699999</v>
          </cell>
          <cell r="Q3">
            <v>870.77278035699999</v>
          </cell>
          <cell r="R3">
            <v>3.2675044000382063E-2</v>
          </cell>
          <cell r="S3">
            <v>5.4426205765858438</v>
          </cell>
        </row>
        <row r="4">
          <cell r="A4">
            <v>2024</v>
          </cell>
          <cell r="C4">
            <v>540.77446228600002</v>
          </cell>
          <cell r="E4">
            <v>902.55526228600002</v>
          </cell>
          <cell r="F4">
            <v>3.8919052419716715E-2</v>
          </cell>
          <cell r="G4">
            <v>6.495609170616226</v>
          </cell>
          <cell r="I4">
            <v>639.45868289600003</v>
          </cell>
          <cell r="K4">
            <v>1001.239482896</v>
          </cell>
          <cell r="L4">
            <v>3.5083111137206961E-2</v>
          </cell>
          <cell r="M4">
            <v>5.4931768060944295</v>
          </cell>
          <cell r="O4">
            <v>716.56458802199995</v>
          </cell>
          <cell r="Q4">
            <v>1078.345388022</v>
          </cell>
          <cell r="R4">
            <v>3.2574531770968501E-2</v>
          </cell>
          <cell r="S4">
            <v>4.902083732488542</v>
          </cell>
        </row>
        <row r="5">
          <cell r="A5">
            <v>2025</v>
          </cell>
          <cell r="C5">
            <v>588.01342990800003</v>
          </cell>
          <cell r="E5">
            <v>964.12074958800008</v>
          </cell>
          <cell r="F5">
            <v>4.1278360678894919E-2</v>
          </cell>
          <cell r="G5">
            <v>6.7680978044543378</v>
          </cell>
          <cell r="I5">
            <v>734.61986541199997</v>
          </cell>
          <cell r="K5">
            <v>1110.7271850919999</v>
          </cell>
          <cell r="L5">
            <v>3.5829990744580223E-2</v>
          </cell>
          <cell r="M5">
            <v>5.4174065575098886</v>
          </cell>
          <cell r="O5">
            <v>900.74432202699995</v>
          </cell>
          <cell r="Q5">
            <v>1276.851641707</v>
          </cell>
          <cell r="R5">
            <v>3.116834106372424E-2</v>
          </cell>
          <cell r="S5">
            <v>4.4182734748681618</v>
          </cell>
        </row>
        <row r="6">
          <cell r="A6">
            <v>2026</v>
          </cell>
          <cell r="C6">
            <v>649.36570116400003</v>
          </cell>
          <cell r="E6">
            <v>1040.3668707030001</v>
          </cell>
          <cell r="F6">
            <v>4.5488222688907592E-2</v>
          </cell>
          <cell r="G6">
            <v>7.287794813903794</v>
          </cell>
          <cell r="I6">
            <v>853.66746352400003</v>
          </cell>
          <cell r="K6">
            <v>1244.668633063</v>
          </cell>
          <cell r="L6">
            <v>3.8021876914451511E-2</v>
          </cell>
          <cell r="M6">
            <v>5.5436852858653562</v>
          </cell>
          <cell r="O6">
            <v>1133.2944912299999</v>
          </cell>
          <cell r="Q6">
            <v>1524.2956607689998</v>
          </cell>
          <cell r="R6">
            <v>3.104691906990336E-2</v>
          </cell>
          <cell r="S6">
            <v>4.175850530000992</v>
          </cell>
        </row>
        <row r="7">
          <cell r="A7">
            <v>2027</v>
          </cell>
          <cell r="C7">
            <v>702.66861464399994</v>
          </cell>
          <cell r="E7">
            <v>1109.153430497</v>
          </cell>
          <cell r="F7">
            <v>4.6378804903979547E-2</v>
          </cell>
          <cell r="G7">
            <v>7.3208350977312655</v>
          </cell>
          <cell r="I7">
            <v>968.41414084600001</v>
          </cell>
          <cell r="K7">
            <v>1374.8989566989999</v>
          </cell>
          <cell r="L7">
            <v>3.7415279824568236E-2</v>
          </cell>
          <cell r="M7">
            <v>5.3120072317882947</v>
          </cell>
          <cell r="O7">
            <v>1380.1077374700001</v>
          </cell>
          <cell r="Q7">
            <v>1786.5925533230002</v>
          </cell>
          <cell r="R7">
            <v>2.8793690855880127E-2</v>
          </cell>
          <cell r="S7">
            <v>3.7274331756232346</v>
          </cell>
        </row>
        <row r="8">
          <cell r="A8">
            <v>2028</v>
          </cell>
          <cell r="C8">
            <v>751.64816310200001</v>
          </cell>
          <cell r="E8">
            <v>1174.229777663</v>
          </cell>
          <cell r="F8">
            <v>4.6478078194473367E-2</v>
          </cell>
          <cell r="G8">
            <v>7.2608363997417165</v>
          </cell>
          <cell r="I8">
            <v>1082.7970172400001</v>
          </cell>
          <cell r="K8">
            <v>1505.378631801</v>
          </cell>
          <cell r="L8">
            <v>3.625643533182224E-2</v>
          </cell>
          <cell r="M8">
            <v>5.040618153245477</v>
          </cell>
          <cell r="O8">
            <v>1645.83506414</v>
          </cell>
          <cell r="Q8">
            <v>2068.4166787009999</v>
          </cell>
          <cell r="R8">
            <v>2.6388029688282175E-2</v>
          </cell>
          <cell r="S8">
            <v>3.3163372147391028</v>
          </cell>
        </row>
        <row r="9">
          <cell r="A9">
            <v>2029</v>
          </cell>
          <cell r="C9">
            <v>808.54118030400002</v>
          </cell>
          <cell r="E9">
            <v>1247.8570268010001</v>
          </cell>
          <cell r="F9">
            <v>4.8660525316161433E-2</v>
          </cell>
          <cell r="G9">
            <v>7.5099920601161747</v>
          </cell>
          <cell r="I9">
            <v>1214.2138394200001</v>
          </cell>
          <cell r="K9">
            <v>1653.5296859170001</v>
          </cell>
          <cell r="L9">
            <v>3.6728857915919205E-2</v>
          </cell>
          <cell r="M9">
            <v>5.0017760399445201</v>
          </cell>
          <cell r="O9">
            <v>1957.76235776</v>
          </cell>
          <cell r="Q9">
            <v>2397.0782042569999</v>
          </cell>
          <cell r="R9">
            <v>2.533863127499697E-2</v>
          </cell>
          <cell r="S9">
            <v>3.1024542133139676</v>
          </cell>
        </row>
        <row r="10">
          <cell r="A10">
            <v>2030</v>
          </cell>
          <cell r="C10">
            <v>876.92133992799995</v>
          </cell>
          <cell r="E10">
            <v>1333.6340939469999</v>
          </cell>
          <cell r="F10">
            <v>4.9363883684212621E-2</v>
          </cell>
          <cell r="G10">
            <v>7.5073276579522261</v>
          </cell>
          <cell r="I10">
            <v>1412.3452600999999</v>
          </cell>
          <cell r="K10">
            <v>1869.0580141189998</v>
          </cell>
          <cell r="L10">
            <v>3.5237339100864726E-2</v>
          </cell>
          <cell r="M10">
            <v>4.6632103992784879</v>
          </cell>
          <cell r="O10">
            <v>2332.0130967199998</v>
          </cell>
          <cell r="Q10">
            <v>2788.7258507389997</v>
          </cell>
          <cell r="R10">
            <v>2.3623530332657908E-2</v>
          </cell>
          <cell r="S10">
            <v>2.8250077075922193</v>
          </cell>
        </row>
        <row r="11">
          <cell r="A11">
            <v>2031</v>
          </cell>
          <cell r="C11">
            <v>955.902053303</v>
          </cell>
          <cell r="E11">
            <v>1430.7006323810001</v>
          </cell>
          <cell r="F11">
            <v>5.2397936378933807E-2</v>
          </cell>
          <cell r="G11">
            <v>7.8424102609430735</v>
          </cell>
          <cell r="I11">
            <v>1317.1553600300001</v>
          </cell>
          <cell r="K11">
            <v>1791.9539391080002</v>
          </cell>
          <cell r="L11">
            <v>4.1868667614272964E-2</v>
          </cell>
          <cell r="M11">
            <v>5.6961180232293298</v>
          </cell>
          <cell r="O11">
            <v>1399.2078580299999</v>
          </cell>
          <cell r="Q11">
            <v>1874.0064371079998</v>
          </cell>
          <cell r="R11">
            <v>4.0061128356451536E-2</v>
          </cell>
          <cell r="S11">
            <v>5.3655224981012326</v>
          </cell>
        </row>
        <row r="12">
          <cell r="A12">
            <v>2032</v>
          </cell>
          <cell r="C12">
            <v>1026.2137193399999</v>
          </cell>
          <cell r="E12">
            <v>1519.814322149</v>
          </cell>
          <cell r="F12">
            <v>6.3692180074553781E-2</v>
          </cell>
          <cell r="G12">
            <v>9.4327609991860406</v>
          </cell>
          <cell r="I12">
            <v>1507.9072379700001</v>
          </cell>
          <cell r="K12">
            <v>2001.5078407790002</v>
          </cell>
          <cell r="L12">
            <v>4.8425997808870011E-2</v>
          </cell>
          <cell r="M12">
            <v>6.4277836110452</v>
          </cell>
          <cell r="O12">
            <v>1399.2078580299999</v>
          </cell>
          <cell r="Q12">
            <v>1892.808460839</v>
          </cell>
          <cell r="R12">
            <v>5.1264730796632685E-2</v>
          </cell>
          <cell r="S12">
            <v>6.9349464868728257</v>
          </cell>
        </row>
        <row r="13">
          <cell r="A13">
            <v>2033</v>
          </cell>
          <cell r="C13">
            <v>1092.35851207</v>
          </cell>
          <cell r="E13">
            <v>1605.505698751</v>
          </cell>
          <cell r="F13">
            <v>6.6393689405727874E-2</v>
          </cell>
          <cell r="G13">
            <v>9.7582840728730655</v>
          </cell>
          <cell r="I13">
            <v>1507.9072379700001</v>
          </cell>
          <cell r="K13">
            <v>2021.0544246510001</v>
          </cell>
          <cell r="L13">
            <v>5.2860151255673477E-2</v>
          </cell>
          <cell r="M13">
            <v>7.084868345537144</v>
          </cell>
          <cell r="O13">
            <v>1399.2078580299999</v>
          </cell>
          <cell r="Q13">
            <v>1912.3550447109999</v>
          </cell>
          <cell r="R13">
            <v>5.5983571390729514E-2</v>
          </cell>
          <cell r="S13">
            <v>7.6515054254151114</v>
          </cell>
        </row>
        <row r="14">
          <cell r="A14">
            <v>2034</v>
          </cell>
          <cell r="C14">
            <v>1167.6869056200001</v>
          </cell>
          <cell r="E14">
            <v>1701.1547208930001</v>
          </cell>
          <cell r="F14">
            <v>0.10474006918163628</v>
          </cell>
          <cell r="G14">
            <v>15.259147147872937</v>
          </cell>
          <cell r="I14">
            <v>1507.9072379700001</v>
          </cell>
          <cell r="K14">
            <v>2041.3750532430001</v>
          </cell>
          <cell r="L14">
            <v>8.749335814173835E-2</v>
          </cell>
          <cell r="M14">
            <v>11.844678116635805</v>
          </cell>
          <cell r="O14">
            <v>1399.2078580299999</v>
          </cell>
          <cell r="Q14">
            <v>1932.6756733029999</v>
          </cell>
          <cell r="R14">
            <v>9.2640847787465189E-2</v>
          </cell>
          <cell r="S14">
            <v>12.796148323886928</v>
          </cell>
        </row>
        <row r="15">
          <cell r="A15">
            <v>2035</v>
          </cell>
          <cell r="C15">
            <v>1257.45258145</v>
          </cell>
          <cell r="E15">
            <v>1812.0457222079999</v>
          </cell>
          <cell r="F15">
            <v>9.6966390701719279E-2</v>
          </cell>
          <cell r="G15">
            <v>13.973292994188874</v>
          </cell>
          <cell r="I15">
            <v>1507.9072379700001</v>
          </cell>
          <cell r="K15">
            <v>2062.5003787280002</v>
          </cell>
          <cell r="L15">
            <v>8.5546508338977922E-2</v>
          </cell>
          <cell r="M15">
            <v>11.700965510685496</v>
          </cell>
          <cell r="O15">
            <v>1399.2078580299999</v>
          </cell>
          <cell r="Q15">
            <v>1953.800998788</v>
          </cell>
          <cell r="R15">
            <v>9.0710373115246115E-2</v>
          </cell>
          <cell r="S15">
            <v>12.666453849289352</v>
          </cell>
        </row>
        <row r="16">
          <cell r="A16">
            <v>2036</v>
          </cell>
          <cell r="C16">
            <v>1329.8846952599999</v>
          </cell>
          <cell r="E16">
            <v>1906.4397243919998</v>
          </cell>
          <cell r="F16">
            <v>8.8797731777745581E-2</v>
          </cell>
          <cell r="G16">
            <v>12.729488797064722</v>
          </cell>
          <cell r="I16">
            <v>1507.9072379700001</v>
          </cell>
          <cell r="K16">
            <v>2084.4622671020002</v>
          </cell>
          <cell r="L16">
            <v>8.1790225096292121E-2</v>
          </cell>
          <cell r="M16">
            <v>11.306308089648674</v>
          </cell>
          <cell r="O16">
            <v>1399.2078580299999</v>
          </cell>
          <cell r="Q16">
            <v>1975.762887162</v>
          </cell>
          <cell r="R16">
            <v>8.6971560941113385E-2</v>
          </cell>
          <cell r="S16">
            <v>12.280890316606252</v>
          </cell>
        </row>
        <row r="17">
          <cell r="A17">
            <v>2037</v>
          </cell>
          <cell r="C17">
            <v>1311.0517578399999</v>
          </cell>
          <cell r="E17">
            <v>1910.4383661259999</v>
          </cell>
          <cell r="F17">
            <v>8.6361559676256236E-2</v>
          </cell>
          <cell r="G17">
            <v>12.584433526546944</v>
          </cell>
          <cell r="I17">
            <v>1507.9072379700001</v>
          </cell>
          <cell r="K17">
            <v>2107.2938462560001</v>
          </cell>
          <cell r="L17">
            <v>7.91948191717569E-2</v>
          </cell>
          <cell r="M17">
            <v>11.067441742681007</v>
          </cell>
          <cell r="O17">
            <v>1399.2078580299999</v>
          </cell>
          <cell r="Q17">
            <v>1998.5944663159999</v>
          </cell>
          <cell r="R17">
            <v>8.4594196972157656E-2</v>
          </cell>
          <cell r="S17">
            <v>12.083229305833061</v>
          </cell>
        </row>
        <row r="18">
          <cell r="A18">
            <v>2038</v>
          </cell>
          <cell r="C18">
            <v>1292.74477118</v>
          </cell>
          <cell r="E18">
            <v>1915.867089154</v>
          </cell>
          <cell r="F18">
            <v>8.4940154678923671E-2</v>
          </cell>
          <cell r="G18">
            <v>12.588257986026008</v>
          </cell>
          <cell r="I18">
            <v>1507.9072379700001</v>
          </cell>
          <cell r="K18">
            <v>2131.0295559440001</v>
          </cell>
          <cell r="L18">
            <v>7.7726122462729766E-2</v>
          </cell>
          <cell r="M18">
            <v>10.984539371267038</v>
          </cell>
          <cell r="O18">
            <v>1399.2078580299999</v>
          </cell>
          <cell r="Q18">
            <v>2022.3301760039999</v>
          </cell>
          <cell r="R18">
            <v>8.3579241415950509E-2</v>
          </cell>
          <cell r="S18">
            <v>12.080036645947425</v>
          </cell>
        </row>
        <row r="19">
          <cell r="A19">
            <v>2039</v>
          </cell>
          <cell r="C19">
            <v>1274.9420060099999</v>
          </cell>
          <cell r="E19">
            <v>1922.739967776</v>
          </cell>
          <cell r="F19">
            <v>8.2762057880901505E-2</v>
          </cell>
          <cell r="G19">
            <v>12.481345484960976</v>
          </cell>
          <cell r="I19">
            <v>1507.9072379700001</v>
          </cell>
          <cell r="K19">
            <v>2155.7051997359999</v>
          </cell>
          <cell r="L19">
            <v>7.5816865165522468E-2</v>
          </cell>
          <cell r="M19">
            <v>10.838784134031169</v>
          </cell>
          <cell r="O19">
            <v>1399.2078580299999</v>
          </cell>
          <cell r="Q19">
            <v>2047.0058197959997</v>
          </cell>
          <cell r="R19">
            <v>8.2317229675386433E-2</v>
          </cell>
          <cell r="S19">
            <v>12.042803165231163</v>
          </cell>
        </row>
        <row r="20">
          <cell r="A20">
            <v>2040</v>
          </cell>
          <cell r="C20">
            <v>1257.6229143800001</v>
          </cell>
          <cell r="E20">
            <v>1931.0736754310001</v>
          </cell>
          <cell r="F20">
            <v>8.2756448174009706E-2</v>
          </cell>
          <cell r="G20">
            <v>12.707211097516039</v>
          </cell>
          <cell r="I20">
            <v>1707.3409309000001</v>
          </cell>
          <cell r="K20">
            <v>2380.7916919509998</v>
          </cell>
          <cell r="L20">
            <v>6.9740134336127912E-2</v>
          </cell>
          <cell r="M20">
            <v>9.7248727197956963</v>
          </cell>
          <cell r="O20">
            <v>1665.6173318599999</v>
          </cell>
          <cell r="Q20">
            <v>2339.0680929109999</v>
          </cell>
          <cell r="R20">
            <v>7.4116426839992977E-2</v>
          </cell>
          <cell r="S20">
            <v>10.408355260593057</v>
          </cell>
        </row>
        <row r="21">
          <cell r="A21">
            <v>2041</v>
          </cell>
          <cell r="C21">
            <v>1257.6229143800001</v>
          </cell>
          <cell r="E21">
            <v>1957.7423255690001</v>
          </cell>
          <cell r="F21">
            <v>8.3430401121622644E-2</v>
          </cell>
          <cell r="G21">
            <v>12.987615416941031</v>
          </cell>
          <cell r="I21">
            <v>1452.7777127700001</v>
          </cell>
          <cell r="K21">
            <v>2152.8971239590001</v>
          </cell>
          <cell r="L21">
            <v>7.9948551645367835E-2</v>
          </cell>
          <cell r="M21">
            <v>11.847718022450813</v>
          </cell>
          <cell r="O21">
            <v>1942.4450532799999</v>
          </cell>
          <cell r="Q21">
            <v>2642.5644644690001</v>
          </cell>
          <cell r="R21">
            <v>6.902971748303395E-2</v>
          </cell>
          <cell r="S21">
            <v>9.3910238595925488</v>
          </cell>
        </row>
        <row r="22">
          <cell r="A22">
            <v>2042</v>
          </cell>
          <cell r="C22">
            <v>754.57374862500001</v>
          </cell>
          <cell r="E22">
            <v>1482.4178884970001</v>
          </cell>
          <cell r="F22">
            <v>0.11412766973456714</v>
          </cell>
          <cell r="G22">
            <v>22.421254316797032</v>
          </cell>
          <cell r="I22">
            <v>1656.8623780200001</v>
          </cell>
          <cell r="K22">
            <v>2384.7065178920002</v>
          </cell>
          <cell r="L22">
            <v>7.6028978141205003E-2</v>
          </cell>
          <cell r="M22">
            <v>10.942779685701296</v>
          </cell>
          <cell r="O22">
            <v>2236.0163868700001</v>
          </cell>
          <cell r="Q22">
            <v>2963.8605267420003</v>
          </cell>
          <cell r="R22">
            <v>6.5927836256111844E-2</v>
          </cell>
          <cell r="S22">
            <v>8.7387960410488894</v>
          </cell>
        </row>
        <row r="23">
          <cell r="A23">
            <v>2043</v>
          </cell>
          <cell r="C23">
            <v>754.57374862500001</v>
          </cell>
          <cell r="E23">
            <v>1511.240516436</v>
          </cell>
          <cell r="F23">
            <v>0.11980134977188939</v>
          </cell>
          <cell r="G23">
            <v>23.993500175285796</v>
          </cell>
          <cell r="I23">
            <v>1851.83113753</v>
          </cell>
          <cell r="K23">
            <v>2608.4979053409998</v>
          </cell>
          <cell r="L23">
            <v>7.5689066827596338E-2</v>
          </cell>
          <cell r="M23">
            <v>10.661596960743486</v>
          </cell>
          <cell r="O23">
            <v>2574.9815134999999</v>
          </cell>
          <cell r="Q23">
            <v>3331.6482813109997</v>
          </cell>
          <cell r="R23">
            <v>6.4918042113344718E-2</v>
          </cell>
          <cell r="S23">
            <v>8.3994421823642362</v>
          </cell>
        </row>
        <row r="24">
          <cell r="A24">
            <v>2044</v>
          </cell>
          <cell r="C24">
            <v>754.57374862500001</v>
          </cell>
          <cell r="E24">
            <v>1541.2045204410001</v>
          </cell>
          <cell r="F24">
            <v>0.12228464884924711</v>
          </cell>
          <cell r="G24">
            <v>24.976439205634442</v>
          </cell>
          <cell r="I24">
            <v>2050.70671378</v>
          </cell>
          <cell r="K24">
            <v>2837.3374855960001</v>
          </cell>
          <cell r="L24">
            <v>7.4083374399096652E-2</v>
          </cell>
          <cell r="M24">
            <v>10.25010226131001</v>
          </cell>
          <cell r="O24">
            <v>1986.4166170200001</v>
          </cell>
          <cell r="Q24">
            <v>2773.0473888360002</v>
          </cell>
          <cell r="R24">
            <v>8.4698918560345809E-2</v>
          </cell>
          <cell r="S24">
            <v>11.824010780948637</v>
          </cell>
        </row>
        <row r="25">
          <cell r="A25">
            <v>2045</v>
          </cell>
          <cell r="C25">
            <v>754.57374862500001</v>
          </cell>
          <cell r="E25">
            <v>1572.3550990050001</v>
          </cell>
          <cell r="F25">
            <v>0.13682392960733858</v>
          </cell>
          <cell r="G25">
            <v>28.510904835481618</v>
          </cell>
          <cell r="I25">
            <v>2273.3952682899999</v>
          </cell>
          <cell r="K25">
            <v>3091.1766186699997</v>
          </cell>
          <cell r="L25">
            <v>7.8758319867451826E-2</v>
          </cell>
          <cell r="M25">
            <v>10.708911041374797</v>
          </cell>
          <cell r="O25">
            <v>2036.6001883399999</v>
          </cell>
          <cell r="Q25">
            <v>2854.3815387200002</v>
          </cell>
          <cell r="R25">
            <v>9.6385765865545009E-2</v>
          </cell>
          <cell r="S25">
            <v>13.508873870145683</v>
          </cell>
        </row>
        <row r="26">
          <cell r="A26">
            <v>2046</v>
          </cell>
          <cell r="C26">
            <v>754.57374862500001</v>
          </cell>
          <cell r="E26">
            <v>1604.73924048</v>
          </cell>
          <cell r="F26">
            <v>0.10773066212382847</v>
          </cell>
          <cell r="G26">
            <v>22.910897871549977</v>
          </cell>
          <cell r="I26">
            <v>2498.5023284099998</v>
          </cell>
          <cell r="K26">
            <v>3348.667820265</v>
          </cell>
          <cell r="L26">
            <v>6.2463961131100504E-2</v>
          </cell>
          <cell r="M26">
            <v>8.3718575799412029</v>
          </cell>
          <cell r="O26">
            <v>2019.2689730300001</v>
          </cell>
          <cell r="Q26">
            <v>2869.4344648850001</v>
          </cell>
          <cell r="R26">
            <v>8.67975285049703E-2</v>
          </cell>
          <cell r="S26">
            <v>12.334157711801762</v>
          </cell>
        </row>
        <row r="27">
          <cell r="A27">
            <v>2047</v>
          </cell>
          <cell r="C27">
            <v>754.57374862500001</v>
          </cell>
          <cell r="E27">
            <v>1638.405793958</v>
          </cell>
          <cell r="F27">
            <v>8.7570296411975432E-2</v>
          </cell>
          <cell r="G27">
            <v>19.01413629634537</v>
          </cell>
          <cell r="I27">
            <v>2732.3532164799999</v>
          </cell>
          <cell r="K27">
            <v>3616.1852618129997</v>
          </cell>
          <cell r="L27">
            <v>5.2335050250748652E-2</v>
          </cell>
          <cell r="M27">
            <v>6.9263825866850661</v>
          </cell>
          <cell r="O27">
            <v>2016.3029516500001</v>
          </cell>
          <cell r="Q27">
            <v>2900.1349969829998</v>
          </cell>
          <cell r="R27">
            <v>8.2277702070845615E-2</v>
          </cell>
          <cell r="S27">
            <v>11.834354706059083</v>
          </cell>
        </row>
        <row r="28">
          <cell r="A28">
            <v>2048</v>
          </cell>
          <cell r="C28">
            <v>803.50197739500004</v>
          </cell>
          <cell r="E28">
            <v>1722.3337717230002</v>
          </cell>
          <cell r="F28">
            <v>0.10221211458850309</v>
          </cell>
          <cell r="G28">
            <v>21.909513826679412</v>
          </cell>
          <cell r="I28">
            <v>2999.3190274499998</v>
          </cell>
          <cell r="K28">
            <v>3918.1508217779997</v>
          </cell>
          <cell r="L28">
            <v>5.9447273527184638E-2</v>
          </cell>
          <cell r="M28">
            <v>7.7658755701299924</v>
          </cell>
          <cell r="O28">
            <v>2076.8292699200001</v>
          </cell>
          <cell r="Q28">
            <v>2995.661064248</v>
          </cell>
          <cell r="R28">
            <v>9.7797720706946492E-2</v>
          </cell>
          <cell r="S28">
            <v>14.106543486132841</v>
          </cell>
        </row>
        <row r="29">
          <cell r="A29">
            <v>2049</v>
          </cell>
          <cell r="C29">
            <v>857.82533405100003</v>
          </cell>
          <cell r="E29">
            <v>1813.0428674350001</v>
          </cell>
          <cell r="F29">
            <v>0.11750460671147799</v>
          </cell>
          <cell r="G29">
            <v>24.834996197061969</v>
          </cell>
          <cell r="I29">
            <v>3298.8416446299998</v>
          </cell>
          <cell r="K29">
            <v>4254.0591780140003</v>
          </cell>
          <cell r="L29">
            <v>6.6454819303190624E-2</v>
          </cell>
          <cell r="M29">
            <v>8.5697576432683888</v>
          </cell>
          <cell r="O29">
            <v>2143.18909072</v>
          </cell>
          <cell r="Q29">
            <v>3098.406624104</v>
          </cell>
          <cell r="R29">
            <v>0.11441693047229318</v>
          </cell>
          <cell r="S29">
            <v>16.541245792078151</v>
          </cell>
        </row>
        <row r="30">
          <cell r="A30">
            <v>2050</v>
          </cell>
          <cell r="C30">
            <v>908.98602953199998</v>
          </cell>
          <cell r="E30">
            <v>1902.0301772369999</v>
          </cell>
          <cell r="F30">
            <v>0.1337111953693837</v>
          </cell>
          <cell r="G30">
            <v>27.978727985284927</v>
          </cell>
          <cell r="I30">
            <v>2189.9563250199999</v>
          </cell>
          <cell r="K30">
            <v>3183.0004727249998</v>
          </cell>
          <cell r="L30">
            <v>0.10633335851667079</v>
          </cell>
          <cell r="M30">
            <v>15.455063032908159</v>
          </cell>
          <cell r="O30">
            <v>2214.9641084599998</v>
          </cell>
          <cell r="Q30">
            <v>3208.0082561649997</v>
          </cell>
          <cell r="R30">
            <v>0.13181896042827701</v>
          </cell>
          <cell r="S30">
            <v>19.091790777007834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DS"/>
      <sheetName val="BaU"/>
      <sheetName val="HDS"/>
    </sheetNames>
    <sheetDataSet>
      <sheetData sheetId="0">
        <row r="2">
          <cell r="A2">
            <v>2023</v>
          </cell>
          <cell r="E2">
            <v>46.296296296296298</v>
          </cell>
          <cell r="F2">
            <v>53.703703703703702</v>
          </cell>
          <cell r="H2">
            <v>4.39082390625E-2</v>
          </cell>
        </row>
        <row r="3">
          <cell r="A3">
            <v>2024</v>
          </cell>
          <cell r="E3">
            <v>59.91593920978552</v>
          </cell>
          <cell r="F3">
            <v>40.08406079021448</v>
          </cell>
          <cell r="H3">
            <v>3.8919052419716715E-2</v>
          </cell>
        </row>
        <row r="4">
          <cell r="A4">
            <v>2025</v>
          </cell>
          <cell r="E4">
            <v>60.98960427511566</v>
          </cell>
          <cell r="F4">
            <v>39.01039572488434</v>
          </cell>
          <cell r="H4">
            <v>4.1278360678894919E-2</v>
          </cell>
        </row>
        <row r="5">
          <cell r="A5">
            <v>2026</v>
          </cell>
          <cell r="E5">
            <v>62.4169914912043</v>
          </cell>
          <cell r="F5">
            <v>37.5830085087957</v>
          </cell>
          <cell r="H5">
            <v>4.5488222688907592E-2</v>
          </cell>
        </row>
        <row r="6">
          <cell r="A6">
            <v>2027</v>
          </cell>
          <cell r="E6">
            <v>63.351795641937606</v>
          </cell>
          <cell r="F6">
            <v>36.648204358062394</v>
          </cell>
          <cell r="H6">
            <v>4.6378804903979547E-2</v>
          </cell>
        </row>
        <row r="7">
          <cell r="A7">
            <v>2028</v>
          </cell>
          <cell r="E7">
            <v>64.012016847159231</v>
          </cell>
          <cell r="F7">
            <v>35.987983152840769</v>
          </cell>
          <cell r="H7">
            <v>4.6478078194473367E-2</v>
          </cell>
        </row>
        <row r="8">
          <cell r="A8">
            <v>2029</v>
          </cell>
          <cell r="E8">
            <v>64.794376514172626</v>
          </cell>
          <cell r="F8">
            <v>35.205623485827374</v>
          </cell>
          <cell r="H8">
            <v>4.8660525316161433E-2</v>
          </cell>
        </row>
        <row r="9">
          <cell r="A9">
            <v>2030</v>
          </cell>
          <cell r="E9">
            <v>65.754268274042019</v>
          </cell>
          <cell r="F9">
            <v>34.245731725957981</v>
          </cell>
          <cell r="H9">
            <v>4.9363883684212621E-2</v>
          </cell>
        </row>
        <row r="10">
          <cell r="A10">
            <v>2031</v>
          </cell>
          <cell r="E10">
            <v>66.813561947768832</v>
          </cell>
          <cell r="F10">
            <v>33.186438052231168</v>
          </cell>
          <cell r="H10">
            <v>5.2397936378933807E-2</v>
          </cell>
        </row>
        <row r="11">
          <cell r="A11">
            <v>2032</v>
          </cell>
          <cell r="E11">
            <v>67.52230877051781</v>
          </cell>
          <cell r="F11">
            <v>32.47769122948219</v>
          </cell>
          <cell r="H11">
            <v>6.3692180074553781E-2</v>
          </cell>
        </row>
        <row r="12">
          <cell r="A12">
            <v>2033</v>
          </cell>
          <cell r="E12">
            <v>68.038283073040361</v>
          </cell>
          <cell r="F12">
            <v>31.961716926959639</v>
          </cell>
          <cell r="H12">
            <v>6.6393689405727874E-2</v>
          </cell>
        </row>
        <row r="13">
          <cell r="A13">
            <v>2034</v>
          </cell>
          <cell r="E13">
            <v>68.640840911109905</v>
          </cell>
          <cell r="F13">
            <v>31.359159088890095</v>
          </cell>
          <cell r="H13">
            <v>0.10474006918163628</v>
          </cell>
        </row>
        <row r="14">
          <cell r="A14">
            <v>2035</v>
          </cell>
          <cell r="E14">
            <v>69.394086806914487</v>
          </cell>
          <cell r="F14">
            <v>30.605913193085513</v>
          </cell>
          <cell r="H14">
            <v>9.6966390701719279E-2</v>
          </cell>
        </row>
        <row r="15">
          <cell r="A15">
            <v>2036</v>
          </cell>
          <cell r="E15">
            <v>69.757500236946953</v>
          </cell>
          <cell r="F15">
            <v>30.242499763053047</v>
          </cell>
          <cell r="H15">
            <v>8.8797731777745581E-2</v>
          </cell>
        </row>
        <row r="16">
          <cell r="A16">
            <v>2037</v>
          </cell>
          <cell r="E16">
            <v>68.625702932178839</v>
          </cell>
          <cell r="F16">
            <v>31.374297067821161</v>
          </cell>
          <cell r="H16">
            <v>8.6361559676256236E-2</v>
          </cell>
        </row>
        <row r="17">
          <cell r="A17">
            <v>2038</v>
          </cell>
          <cell r="E17">
            <v>67.475702176754055</v>
          </cell>
          <cell r="F17">
            <v>32.524297823245945</v>
          </cell>
          <cell r="H17">
            <v>8.4940154678923671E-2</v>
          </cell>
        </row>
        <row r="18">
          <cell r="A18">
            <v>2039</v>
          </cell>
          <cell r="E18">
            <v>66.308602690810204</v>
          </cell>
          <cell r="F18">
            <v>33.691397309189796</v>
          </cell>
          <cell r="H18">
            <v>8.2762057880901505E-2</v>
          </cell>
        </row>
        <row r="19">
          <cell r="A19">
            <v>2040</v>
          </cell>
          <cell r="E19">
            <v>65.125579121123323</v>
          </cell>
          <cell r="F19">
            <v>34.874420878876677</v>
          </cell>
          <cell r="H19">
            <v>8.2756448174009706E-2</v>
          </cell>
        </row>
        <row r="20">
          <cell r="A20">
            <v>2041</v>
          </cell>
          <cell r="E20">
            <v>64.238429028931748</v>
          </cell>
          <cell r="F20">
            <v>35.761570971068252</v>
          </cell>
          <cell r="H20">
            <v>8.3430401121622644E-2</v>
          </cell>
        </row>
        <row r="21">
          <cell r="A21">
            <v>2042</v>
          </cell>
          <cell r="E21">
            <v>50.901554445626012</v>
          </cell>
          <cell r="F21">
            <v>49.098445554373988</v>
          </cell>
          <cell r="H21">
            <v>0.11412766973456714</v>
          </cell>
        </row>
        <row r="22">
          <cell r="A22">
            <v>2043</v>
          </cell>
          <cell r="E22">
            <v>49.930751618844361</v>
          </cell>
          <cell r="F22">
            <v>50.069248381155639</v>
          </cell>
          <cell r="H22">
            <v>0.11980134977188939</v>
          </cell>
        </row>
        <row r="23">
          <cell r="A23">
            <v>2044</v>
          </cell>
          <cell r="E23">
            <v>48.96000100032709</v>
          </cell>
          <cell r="F23">
            <v>51.03999899967291</v>
          </cell>
          <cell r="H23">
            <v>0.12228464884924711</v>
          </cell>
        </row>
        <row r="24">
          <cell r="A24">
            <v>2045</v>
          </cell>
          <cell r="E24">
            <v>47.990034127946089</v>
          </cell>
          <cell r="F24">
            <v>52.009965872053911</v>
          </cell>
          <cell r="H24">
            <v>0.13682392960733858</v>
          </cell>
        </row>
        <row r="25">
          <cell r="A25">
            <v>2046</v>
          </cell>
          <cell r="E25">
            <v>47.021580178926541</v>
          </cell>
          <cell r="F25">
            <v>52.978419821073459</v>
          </cell>
          <cell r="H25">
            <v>0.10773066212382847</v>
          </cell>
        </row>
        <row r="26">
          <cell r="A26">
            <v>2047</v>
          </cell>
          <cell r="E26">
            <v>46.055363781528669</v>
          </cell>
          <cell r="F26">
            <v>53.944636218471331</v>
          </cell>
          <cell r="H26">
            <v>8.7570296411975432E-2</v>
          </cell>
        </row>
        <row r="27">
          <cell r="A27">
            <v>2048</v>
          </cell>
          <cell r="E27">
            <v>46.651931848911438</v>
          </cell>
          <cell r="F27">
            <v>53.348068151088562</v>
          </cell>
          <cell r="H27">
            <v>0.10221211458850309</v>
          </cell>
        </row>
        <row r="28">
          <cell r="A28">
            <v>2049</v>
          </cell>
          <cell r="E28">
            <v>47.314123094320827</v>
          </cell>
          <cell r="F28">
            <v>52.685876905679173</v>
          </cell>
          <cell r="H28">
            <v>0.11750460671147799</v>
          </cell>
        </row>
        <row r="29">
          <cell r="A29">
            <v>2050</v>
          </cell>
          <cell r="E29">
            <v>47.790305349016393</v>
          </cell>
          <cell r="F29">
            <v>52.209694650983607</v>
          </cell>
          <cell r="H29">
            <v>0.1337111953693837</v>
          </cell>
        </row>
      </sheetData>
      <sheetData sheetId="1">
        <row r="2">
          <cell r="A2">
            <v>2023</v>
          </cell>
          <cell r="E2">
            <v>46.296296296296298</v>
          </cell>
          <cell r="F2">
            <v>53.703703703703702</v>
          </cell>
          <cell r="H2">
            <v>4.39082390625E-2</v>
          </cell>
        </row>
        <row r="3">
          <cell r="A3">
            <v>2024</v>
          </cell>
          <cell r="E3">
            <v>63.866706599146511</v>
          </cell>
          <cell r="F3">
            <v>36.133293400853489</v>
          </cell>
          <cell r="H3">
            <v>3.5083111137206961E-2</v>
          </cell>
        </row>
        <row r="4">
          <cell r="A4">
            <v>2025</v>
          </cell>
          <cell r="E4">
            <v>66.138640997712898</v>
          </cell>
          <cell r="F4">
            <v>33.861359002287102</v>
          </cell>
          <cell r="H4">
            <v>3.5829990744580223E-2</v>
          </cell>
        </row>
        <row r="5">
          <cell r="A5">
            <v>2026</v>
          </cell>
          <cell r="E5">
            <v>68.585922457386374</v>
          </cell>
          <cell r="F5">
            <v>31.414077542613626</v>
          </cell>
          <cell r="H5">
            <v>3.8021876914451511E-2</v>
          </cell>
        </row>
        <row r="6">
          <cell r="A6">
            <v>2027</v>
          </cell>
          <cell r="E6">
            <v>70.435295344980773</v>
          </cell>
          <cell r="F6">
            <v>29.564704655019227</v>
          </cell>
          <cell r="H6">
            <v>3.7415279824568236E-2</v>
          </cell>
        </row>
        <row r="7">
          <cell r="A7">
            <v>2028</v>
          </cell>
          <cell r="E7">
            <v>71.928549692814954</v>
          </cell>
          <cell r="F7">
            <v>28.071450307185046</v>
          </cell>
          <cell r="H7">
            <v>3.625643533182224E-2</v>
          </cell>
        </row>
        <row r="8">
          <cell r="A8">
            <v>2029</v>
          </cell>
          <cell r="E8">
            <v>73.431632329396734</v>
          </cell>
          <cell r="F8">
            <v>26.568367670603266</v>
          </cell>
          <cell r="H8">
            <v>3.6728857915919205E-2</v>
          </cell>
        </row>
        <row r="9">
          <cell r="A9">
            <v>2030</v>
          </cell>
          <cell r="E9">
            <v>75.56454906327366</v>
          </cell>
          <cell r="F9">
            <v>24.43545093672634</v>
          </cell>
          <cell r="H9">
            <v>3.5237339100864726E-2</v>
          </cell>
        </row>
        <row r="10">
          <cell r="A10">
            <v>2031</v>
          </cell>
          <cell r="E10">
            <v>73.503862531514315</v>
          </cell>
          <cell r="F10">
            <v>26.496137468485685</v>
          </cell>
          <cell r="H10">
            <v>4.1868667614272964E-2</v>
          </cell>
        </row>
        <row r="11">
          <cell r="A11">
            <v>2032</v>
          </cell>
          <cell r="E11">
            <v>75.338562620025144</v>
          </cell>
          <cell r="F11">
            <v>24.661437379974856</v>
          </cell>
          <cell r="H11">
            <v>4.8425997808870011E-2</v>
          </cell>
        </row>
        <row r="12">
          <cell r="A12">
            <v>2033</v>
          </cell>
          <cell r="E12">
            <v>74.609927351678749</v>
          </cell>
          <cell r="F12">
            <v>25.390072648321251</v>
          </cell>
          <cell r="H12">
            <v>5.2860151255673477E-2</v>
          </cell>
        </row>
        <row r="13">
          <cell r="A13">
            <v>2034</v>
          </cell>
          <cell r="E13">
            <v>73.867231578757938</v>
          </cell>
          <cell r="F13">
            <v>26.132768421242062</v>
          </cell>
          <cell r="H13">
            <v>8.749335814173835E-2</v>
          </cell>
        </row>
        <row r="14">
          <cell r="A14">
            <v>2035</v>
          </cell>
          <cell r="E14">
            <v>73.110640537189497</v>
          </cell>
          <cell r="F14">
            <v>26.889359462810503</v>
          </cell>
          <cell r="H14">
            <v>8.5546508338977922E-2</v>
          </cell>
        </row>
        <row r="15">
          <cell r="A15">
            <v>2036</v>
          </cell>
          <cell r="E15">
            <v>72.34034704146616</v>
          </cell>
          <cell r="F15">
            <v>27.65965295853384</v>
          </cell>
          <cell r="H15">
            <v>8.1790225096292121E-2</v>
          </cell>
        </row>
        <row r="16">
          <cell r="A16">
            <v>2037</v>
          </cell>
          <cell r="E16">
            <v>71.556571982074459</v>
          </cell>
          <cell r="F16">
            <v>28.443428017925541</v>
          </cell>
          <cell r="H16">
            <v>7.91948191717569E-2</v>
          </cell>
        </row>
        <row r="17">
          <cell r="A17">
            <v>2038</v>
          </cell>
          <cell r="E17">
            <v>70.75956472607578</v>
          </cell>
          <cell r="F17">
            <v>29.24043527392422</v>
          </cell>
          <cell r="H17">
            <v>7.7726122462729766E-2</v>
          </cell>
        </row>
        <row r="18">
          <cell r="A18">
            <v>2039</v>
          </cell>
          <cell r="E18">
            <v>69.949603413057929</v>
          </cell>
          <cell r="F18">
            <v>30.050396586942071</v>
          </cell>
          <cell r="H18">
            <v>7.5816865165522468E-2</v>
          </cell>
        </row>
        <row r="19">
          <cell r="A19">
            <v>2040</v>
          </cell>
          <cell r="E19">
            <v>71.713158974478631</v>
          </cell>
          <cell r="F19">
            <v>28.286841025521369</v>
          </cell>
          <cell r="H19">
            <v>6.9740134336127912E-2</v>
          </cell>
        </row>
        <row r="20">
          <cell r="A20">
            <v>2041</v>
          </cell>
          <cell r="E20">
            <v>67.480126969488538</v>
          </cell>
          <cell r="F20">
            <v>32.519873030511462</v>
          </cell>
          <cell r="H20">
            <v>7.9948551645367835E-2</v>
          </cell>
        </row>
        <row r="21">
          <cell r="A21">
            <v>2042</v>
          </cell>
          <cell r="E21">
            <v>69.47867025098796</v>
          </cell>
          <cell r="F21">
            <v>30.52132974901204</v>
          </cell>
          <cell r="H21">
            <v>7.6028978141205003E-2</v>
          </cell>
        </row>
        <row r="22">
          <cell r="A22">
            <v>2043</v>
          </cell>
          <cell r="E22">
            <v>70.992241693516576</v>
          </cell>
          <cell r="F22">
            <v>29.007758306483424</v>
          </cell>
          <cell r="H22">
            <v>7.5689066827596338E-2</v>
          </cell>
        </row>
        <row r="23">
          <cell r="A23">
            <v>2044</v>
          </cell>
          <cell r="E23">
            <v>72.27574175404223</v>
          </cell>
          <cell r="F23">
            <v>27.72425824595777</v>
          </cell>
          <cell r="H23">
            <v>7.4083374399096652E-2</v>
          </cell>
        </row>
        <row r="24">
          <cell r="A24">
            <v>2045</v>
          </cell>
          <cell r="E24">
            <v>73.544657867790932</v>
          </cell>
          <cell r="F24">
            <v>26.455342132209068</v>
          </cell>
          <cell r="H24">
            <v>7.8758319867451826E-2</v>
          </cell>
        </row>
        <row r="25">
          <cell r="A25">
            <v>2046</v>
          </cell>
          <cell r="E25">
            <v>74.611829614448851</v>
          </cell>
          <cell r="F25">
            <v>25.388170385551149</v>
          </cell>
          <cell r="H25">
            <v>6.2463961131100504E-2</v>
          </cell>
        </row>
        <row r="26">
          <cell r="A26">
            <v>2047</v>
          </cell>
          <cell r="E26">
            <v>75.558994317401641</v>
          </cell>
          <cell r="F26">
            <v>24.441005682598359</v>
          </cell>
          <cell r="H26">
            <v>5.2335050250748652E-2</v>
          </cell>
        </row>
        <row r="27">
          <cell r="A27">
            <v>2048</v>
          </cell>
          <cell r="E27">
            <v>76.549351055581681</v>
          </cell>
          <cell r="F27">
            <v>23.450648944418319</v>
          </cell>
          <cell r="H27">
            <v>5.9447273527184638E-2</v>
          </cell>
        </row>
        <row r="28">
          <cell r="A28">
            <v>2049</v>
          </cell>
          <cell r="E28">
            <v>77.545739412352461</v>
          </cell>
          <cell r="F28">
            <v>22.454260587647539</v>
          </cell>
          <cell r="H28">
            <v>6.6454819303190624E-2</v>
          </cell>
        </row>
        <row r="29">
          <cell r="A29">
            <v>2050</v>
          </cell>
          <cell r="E29">
            <v>50</v>
          </cell>
          <cell r="F29">
            <v>50</v>
          </cell>
          <cell r="H29">
            <v>0.1704149464085784</v>
          </cell>
        </row>
      </sheetData>
      <sheetData sheetId="2">
        <row r="2">
          <cell r="A2">
            <v>2023</v>
          </cell>
          <cell r="E2">
            <v>46.296296296296298</v>
          </cell>
          <cell r="F2">
            <v>53.703703703703702</v>
          </cell>
          <cell r="H2">
            <v>4.39082390625E-2</v>
          </cell>
        </row>
        <row r="3">
          <cell r="A3">
            <v>2024</v>
          </cell>
          <cell r="E3">
            <v>66.450378142423219</v>
          </cell>
          <cell r="F3">
            <v>33.549621857576781</v>
          </cell>
          <cell r="H3">
            <v>3.2574531770968501E-2</v>
          </cell>
        </row>
        <row r="4">
          <cell r="A4">
            <v>2025</v>
          </cell>
          <cell r="E4">
            <v>70.544164459295459</v>
          </cell>
          <cell r="F4">
            <v>29.455835540704541</v>
          </cell>
          <cell r="H4">
            <v>3.116834106372424E-2</v>
          </cell>
        </row>
        <row r="5">
          <cell r="A5">
            <v>2026</v>
          </cell>
          <cell r="E5">
            <v>74.34873170591186</v>
          </cell>
          <cell r="F5">
            <v>25.65126829408814</v>
          </cell>
          <cell r="H5">
            <v>3.104691906990336E-2</v>
          </cell>
        </row>
        <row r="6">
          <cell r="A6">
            <v>2027</v>
          </cell>
          <cell r="E6">
            <v>77.248040405354175</v>
          </cell>
          <cell r="F6">
            <v>22.751959594645825</v>
          </cell>
          <cell r="H6">
            <v>2.8793690855880127E-2</v>
          </cell>
        </row>
        <row r="7">
          <cell r="A7">
            <v>2028</v>
          </cell>
          <cell r="E7">
            <v>79.569802404301427</v>
          </cell>
          <cell r="F7">
            <v>20.430197595698573</v>
          </cell>
          <cell r="H7">
            <v>2.6388029688282175E-2</v>
          </cell>
        </row>
        <row r="8">
          <cell r="A8">
            <v>2029</v>
          </cell>
          <cell r="E8">
            <v>81.67286133106488</v>
          </cell>
          <cell r="F8">
            <v>18.32713866893512</v>
          </cell>
          <cell r="H8">
            <v>2.533863127499697E-2</v>
          </cell>
        </row>
        <row r="9">
          <cell r="A9">
            <v>2030</v>
          </cell>
          <cell r="E9">
            <v>83.622888069188548</v>
          </cell>
          <cell r="F9">
            <v>16.377111930811452</v>
          </cell>
          <cell r="H9">
            <v>2.3623530332657908E-2</v>
          </cell>
        </row>
        <row r="10">
          <cell r="A10">
            <v>2031</v>
          </cell>
          <cell r="E10">
            <v>74.663983555429098</v>
          </cell>
          <cell r="F10">
            <v>25.336016444570902</v>
          </cell>
          <cell r="H10">
            <v>4.0061128356451536E-2</v>
          </cell>
        </row>
        <row r="11">
          <cell r="A11">
            <v>2032</v>
          </cell>
          <cell r="E11">
            <v>73.922316334627524</v>
          </cell>
          <cell r="F11">
            <v>26.077683665372476</v>
          </cell>
          <cell r="H11">
            <v>5.1264730796632685E-2</v>
          </cell>
        </row>
        <row r="12">
          <cell r="A12">
            <v>2033</v>
          </cell>
          <cell r="E12">
            <v>73.166740762903245</v>
          </cell>
          <cell r="F12">
            <v>26.833259237096755</v>
          </cell>
          <cell r="H12">
            <v>5.5983571390729514E-2</v>
          </cell>
        </row>
        <row r="13">
          <cell r="A13">
            <v>2034</v>
          </cell>
          <cell r="E13">
            <v>72.397447608926129</v>
          </cell>
          <cell r="F13">
            <v>27.602552391073871</v>
          </cell>
          <cell r="H13">
            <v>9.2640847787465189E-2</v>
          </cell>
        </row>
        <row r="14">
          <cell r="A14">
            <v>2035</v>
          </cell>
          <cell r="E14">
            <v>71.61465568386798</v>
          </cell>
          <cell r="F14">
            <v>28.38534431613202</v>
          </cell>
          <cell r="H14">
            <v>9.0710373115246115E-2</v>
          </cell>
        </row>
        <row r="15">
          <cell r="A15">
            <v>2036</v>
          </cell>
          <cell r="E15">
            <v>70.818612249561582</v>
          </cell>
          <cell r="F15">
            <v>29.181387750438418</v>
          </cell>
          <cell r="H15">
            <v>8.6971560941113385E-2</v>
          </cell>
        </row>
        <row r="16">
          <cell r="A16">
            <v>2037</v>
          </cell>
          <cell r="E16">
            <v>70.009593322308817</v>
          </cell>
          <cell r="F16">
            <v>29.990406677691183</v>
          </cell>
          <cell r="H16">
            <v>8.4594196972157656E-2</v>
          </cell>
        </row>
        <row r="17">
          <cell r="A17">
            <v>2038</v>
          </cell>
          <cell r="E17">
            <v>69.187903866160397</v>
          </cell>
          <cell r="F17">
            <v>30.812096133839603</v>
          </cell>
          <cell r="H17">
            <v>8.3579241415950509E-2</v>
          </cell>
        </row>
        <row r="18">
          <cell r="A18">
            <v>2039</v>
          </cell>
          <cell r="E18">
            <v>68.353877868771363</v>
          </cell>
          <cell r="F18">
            <v>31.646122131228637</v>
          </cell>
          <cell r="H18">
            <v>8.2317229675386433E-2</v>
          </cell>
        </row>
        <row r="19">
          <cell r="A19">
            <v>2040</v>
          </cell>
          <cell r="E19">
            <v>71.208586740504771</v>
          </cell>
          <cell r="F19">
            <v>28.791413259495229</v>
          </cell>
          <cell r="H19">
            <v>7.4116426839992977E-2</v>
          </cell>
        </row>
        <row r="20">
          <cell r="A20">
            <v>2041</v>
          </cell>
          <cell r="E20">
            <v>73.506061229439752</v>
          </cell>
          <cell r="F20">
            <v>26.493938770560248</v>
          </cell>
          <cell r="H20">
            <v>6.902971748303395E-2</v>
          </cell>
        </row>
        <row r="21">
          <cell r="A21">
            <v>2042</v>
          </cell>
          <cell r="E21">
            <v>75.44269936777097</v>
          </cell>
          <cell r="F21">
            <v>24.55730063222903</v>
          </cell>
          <cell r="H21">
            <v>6.5927836256111844E-2</v>
          </cell>
        </row>
        <row r="22">
          <cell r="A22">
            <v>2043</v>
          </cell>
          <cell r="E22">
            <v>77.288515956034459</v>
          </cell>
          <cell r="F22">
            <v>22.711484043965541</v>
          </cell>
          <cell r="H22">
            <v>6.4918042113344718E-2</v>
          </cell>
        </row>
        <row r="23">
          <cell r="A23">
            <v>2044</v>
          </cell>
          <cell r="E23">
            <v>71.6329848893714</v>
          </cell>
          <cell r="F23">
            <v>28.3670151106286</v>
          </cell>
          <cell r="H23">
            <v>8.4698918560345809E-2</v>
          </cell>
        </row>
        <row r="24">
          <cell r="A24">
            <v>2045</v>
          </cell>
          <cell r="E24">
            <v>71.349963581017249</v>
          </cell>
          <cell r="F24">
            <v>28.650036418982751</v>
          </cell>
          <cell r="H24">
            <v>9.6385765865545009E-2</v>
          </cell>
        </row>
        <row r="25">
          <cell r="A25">
            <v>2046</v>
          </cell>
          <cell r="E25">
            <v>70.371670715641429</v>
          </cell>
          <cell r="F25">
            <v>29.628329284358571</v>
          </cell>
          <cell r="H25">
            <v>8.67975285049703E-2</v>
          </cell>
        </row>
        <row r="26">
          <cell r="A26">
            <v>2047</v>
          </cell>
          <cell r="E26">
            <v>69.524451577169785</v>
          </cell>
          <cell r="F26">
            <v>30.475548422830215</v>
          </cell>
          <cell r="H26">
            <v>8.2277702070845615E-2</v>
          </cell>
        </row>
        <row r="27">
          <cell r="A27">
            <v>2048</v>
          </cell>
          <cell r="E27">
            <v>69.327912116164114</v>
          </cell>
          <cell r="F27">
            <v>30.672087883835886</v>
          </cell>
          <cell r="H27">
            <v>9.7797720706946492E-2</v>
          </cell>
        </row>
        <row r="28">
          <cell r="A28">
            <v>2049</v>
          </cell>
          <cell r="E28">
            <v>69.170685153042797</v>
          </cell>
          <cell r="F28">
            <v>30.829314846957203</v>
          </cell>
          <cell r="H28">
            <v>0.11441693047229318</v>
          </cell>
        </row>
        <row r="29">
          <cell r="A29">
            <v>2050</v>
          </cell>
          <cell r="E29">
            <v>69.044838154745577</v>
          </cell>
          <cell r="F29">
            <v>30.955161845254423</v>
          </cell>
          <cell r="H29">
            <v>0.13181896042827701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BB43-D615-4C45-8A88-3A09A8074BDB}">
  <dimension ref="A1:AG91"/>
  <sheetViews>
    <sheetView zoomScale="70" zoomScaleNormal="70" workbookViewId="0">
      <pane xSplit="1" ySplit="1" topLeftCell="F27" activePane="bottomRight" state="frozen"/>
      <selection pane="topRight" activeCell="B1" sqref="B1"/>
      <selection pane="bottomLeft" activeCell="A2" sqref="A2"/>
      <selection pane="bottomRight" activeCell="G55" sqref="G55"/>
    </sheetView>
  </sheetViews>
  <sheetFormatPr defaultRowHeight="15" x14ac:dyDescent="0.25"/>
  <cols>
    <col min="2" max="2" width="36" bestFit="1" customWidth="1"/>
    <col min="3" max="4" width="35.7109375" bestFit="1" customWidth="1"/>
    <col min="5" max="5" width="28.7109375" bestFit="1" customWidth="1"/>
    <col min="6" max="7" width="36.7109375" bestFit="1" customWidth="1"/>
    <col min="8" max="8" width="29.7109375" bestFit="1" customWidth="1"/>
    <col min="9" max="10" width="36" bestFit="1" customWidth="1"/>
    <col min="11" max="11" width="29" bestFit="1" customWidth="1"/>
  </cols>
  <sheetData>
    <row r="1" spans="1:11" x14ac:dyDescent="0.25">
      <c r="A1" s="2" t="s">
        <v>0</v>
      </c>
      <c r="B1" s="2" t="s">
        <v>6</v>
      </c>
      <c r="C1" s="2" t="s">
        <v>2</v>
      </c>
      <c r="D1" s="2" t="s">
        <v>1</v>
      </c>
      <c r="E1" s="2" t="s">
        <v>11</v>
      </c>
      <c r="F1" s="2" t="s">
        <v>3</v>
      </c>
      <c r="G1" s="2" t="s">
        <v>5</v>
      </c>
      <c r="H1" s="2" t="s">
        <v>10</v>
      </c>
      <c r="I1" s="2" t="s">
        <v>4</v>
      </c>
      <c r="J1" s="2" t="s">
        <v>7</v>
      </c>
      <c r="K1" s="5" t="s">
        <v>12</v>
      </c>
    </row>
    <row r="2" spans="1:11" hidden="1" x14ac:dyDescent="0.25">
      <c r="A2" s="2">
        <v>2020</v>
      </c>
      <c r="B2" s="1">
        <v>179</v>
      </c>
      <c r="C2" s="1" t="s">
        <v>8</v>
      </c>
      <c r="D2" s="1">
        <v>5.5</v>
      </c>
      <c r="E2" s="1"/>
      <c r="F2" s="1" t="s">
        <v>8</v>
      </c>
      <c r="G2" s="1">
        <v>5.5</v>
      </c>
      <c r="H2" s="1"/>
      <c r="I2" s="1" t="s">
        <v>8</v>
      </c>
      <c r="J2" s="1">
        <v>5.5</v>
      </c>
      <c r="K2" s="6"/>
    </row>
    <row r="3" spans="1:11" x14ac:dyDescent="0.25">
      <c r="A3" s="2">
        <v>2021</v>
      </c>
      <c r="B3" s="1">
        <v>239.416666666666</v>
      </c>
      <c r="C3" s="3">
        <v>3.9</v>
      </c>
      <c r="D3" s="1">
        <f>C3*B3/100</f>
        <v>9.3372499999999743</v>
      </c>
      <c r="E3" s="1">
        <f>D3-D2</f>
        <v>3.8372499999999743</v>
      </c>
      <c r="F3" s="4">
        <v>3.8192999999998847</v>
      </c>
      <c r="G3" s="1">
        <f>F3*B3/100</f>
        <v>9.1440407499996983</v>
      </c>
      <c r="H3" s="1">
        <f>G3-G2</f>
        <v>3.6440407499996983</v>
      </c>
      <c r="I3" s="4">
        <v>3.9000000000000909</v>
      </c>
      <c r="J3" s="1">
        <f>I3*B3/100</f>
        <v>9.3372500000001928</v>
      </c>
      <c r="K3" s="4">
        <f>J3-J2</f>
        <v>3.8372500000001928</v>
      </c>
    </row>
    <row r="4" spans="1:11" x14ac:dyDescent="0.25">
      <c r="A4" s="2">
        <v>2022</v>
      </c>
      <c r="B4" s="1">
        <v>274.62499999999898</v>
      </c>
      <c r="C4" s="3">
        <v>3.9</v>
      </c>
      <c r="D4" s="1">
        <f t="shared" ref="D4:D32" si="0">C4*B4/100</f>
        <v>10.71037499999996</v>
      </c>
      <c r="E4" s="1">
        <f t="shared" ref="E4:E32" si="1">D4-D3</f>
        <v>1.3731249999999857</v>
      </c>
      <c r="F4" s="4">
        <v>4.2025999999999613</v>
      </c>
      <c r="G4" s="1">
        <f t="shared" ref="G4:G32" si="2">F4*B4/100</f>
        <v>11.541390249999852</v>
      </c>
      <c r="H4" s="1">
        <f t="shared" ref="H4:H32" si="3">G4-G3</f>
        <v>2.3973495000001535</v>
      </c>
      <c r="I4" s="4">
        <v>4.7999999999999545</v>
      </c>
      <c r="J4" s="1">
        <f t="shared" ref="J4:J32" si="4">I4*B4/100</f>
        <v>13.181999999999825</v>
      </c>
      <c r="K4" s="4">
        <f t="shared" ref="K4:K32" si="5">J4-J3</f>
        <v>3.8447499999996317</v>
      </c>
    </row>
    <row r="5" spans="1:11" x14ac:dyDescent="0.25">
      <c r="A5" s="2">
        <v>2023</v>
      </c>
      <c r="B5" s="1">
        <v>295.75</v>
      </c>
      <c r="C5" s="3">
        <v>3.9</v>
      </c>
      <c r="D5" s="1">
        <f t="shared" si="0"/>
        <v>11.53425</v>
      </c>
      <c r="E5" s="1">
        <f t="shared" si="1"/>
        <v>0.8238750000000401</v>
      </c>
      <c r="F5" s="4">
        <v>4.5858999999999241</v>
      </c>
      <c r="G5" s="1">
        <f t="shared" si="2"/>
        <v>13.562799249999776</v>
      </c>
      <c r="H5" s="1">
        <f t="shared" si="3"/>
        <v>2.0214089999999239</v>
      </c>
      <c r="I5" s="4">
        <v>5.7000000000000455</v>
      </c>
      <c r="J5" s="1">
        <f t="shared" si="4"/>
        <v>16.857750000000134</v>
      </c>
      <c r="K5" s="4">
        <f t="shared" si="5"/>
        <v>3.6757500000003098</v>
      </c>
    </row>
    <row r="6" spans="1:11" x14ac:dyDescent="0.25">
      <c r="A6" s="2">
        <v>2024</v>
      </c>
      <c r="B6" s="1">
        <v>350.17084478861096</v>
      </c>
      <c r="C6" s="3">
        <v>3.9</v>
      </c>
      <c r="D6" s="1">
        <f t="shared" si="0"/>
        <v>13.656662946755828</v>
      </c>
      <c r="E6" s="1">
        <f t="shared" si="1"/>
        <v>2.1224129467558281</v>
      </c>
      <c r="F6" s="4">
        <v>4.969199999999887</v>
      </c>
      <c r="G6" s="1">
        <f t="shared" si="2"/>
        <v>17.400689619235262</v>
      </c>
      <c r="H6" s="1">
        <f t="shared" si="3"/>
        <v>3.8378903692354864</v>
      </c>
      <c r="I6" s="4">
        <v>6.6000000000001364</v>
      </c>
      <c r="J6" s="1">
        <f t="shared" si="4"/>
        <v>23.111275756048805</v>
      </c>
      <c r="K6" s="4">
        <f t="shared" si="5"/>
        <v>6.2535257560486706</v>
      </c>
    </row>
    <row r="7" spans="1:11" x14ac:dyDescent="0.25">
      <c r="A7" s="2">
        <v>2025</v>
      </c>
      <c r="B7" s="1">
        <v>387.291666666666</v>
      </c>
      <c r="C7" s="3">
        <v>3.9</v>
      </c>
      <c r="D7" s="1">
        <f t="shared" si="0"/>
        <v>15.104374999999973</v>
      </c>
      <c r="E7" s="1">
        <f t="shared" si="1"/>
        <v>1.4477120532441443</v>
      </c>
      <c r="F7" s="4">
        <v>5.3524999999998499</v>
      </c>
      <c r="G7" s="1">
        <f t="shared" si="2"/>
        <v>20.729786458332715</v>
      </c>
      <c r="H7" s="1">
        <f t="shared" si="3"/>
        <v>3.3290968390974527</v>
      </c>
      <c r="I7" s="4">
        <v>7.5</v>
      </c>
      <c r="J7" s="1">
        <f t="shared" si="4"/>
        <v>29.04687499999995</v>
      </c>
      <c r="K7" s="4">
        <f t="shared" si="5"/>
        <v>5.9355992439511454</v>
      </c>
    </row>
    <row r="8" spans="1:11" x14ac:dyDescent="0.25">
      <c r="A8" s="2">
        <v>2026</v>
      </c>
      <c r="B8" s="1">
        <v>435.0352187832882</v>
      </c>
      <c r="C8" s="3">
        <v>3.9</v>
      </c>
      <c r="D8" s="1">
        <f t="shared" si="0"/>
        <v>16.966373532548239</v>
      </c>
      <c r="E8" s="1">
        <f t="shared" si="1"/>
        <v>1.8619985325482666</v>
      </c>
      <c r="F8" s="4">
        <v>5.7357999999999265</v>
      </c>
      <c r="G8" s="1">
        <f t="shared" si="2"/>
        <v>24.952750078971526</v>
      </c>
      <c r="H8" s="1">
        <f t="shared" si="3"/>
        <v>4.2229636206388115</v>
      </c>
      <c r="I8" s="4">
        <v>8.4000000000000909</v>
      </c>
      <c r="J8" s="1">
        <f t="shared" si="4"/>
        <v>36.542958377796602</v>
      </c>
      <c r="K8" s="4">
        <f t="shared" si="5"/>
        <v>7.4960833777966513</v>
      </c>
    </row>
    <row r="9" spans="1:11" x14ac:dyDescent="0.25">
      <c r="A9" s="2">
        <v>2027</v>
      </c>
      <c r="B9" s="1">
        <v>478.5467160037598</v>
      </c>
      <c r="C9" s="3">
        <v>3.9</v>
      </c>
      <c r="D9" s="1">
        <f t="shared" si="0"/>
        <v>18.663321924146633</v>
      </c>
      <c r="E9" s="1">
        <f t="shared" si="1"/>
        <v>1.6969483915983936</v>
      </c>
      <c r="F9" s="4">
        <v>6.1190999999998894</v>
      </c>
      <c r="G9" s="1">
        <f t="shared" si="2"/>
        <v>29.28275209898554</v>
      </c>
      <c r="H9" s="1">
        <f t="shared" si="3"/>
        <v>4.3300020200140139</v>
      </c>
      <c r="I9" s="4">
        <v>9.2999999999999545</v>
      </c>
      <c r="J9" s="1">
        <f t="shared" si="4"/>
        <v>44.504844588349442</v>
      </c>
      <c r="K9" s="4">
        <f t="shared" si="5"/>
        <v>7.9618862105528407</v>
      </c>
    </row>
    <row r="10" spans="1:11" x14ac:dyDescent="0.25">
      <c r="A10" s="2">
        <v>2028</v>
      </c>
      <c r="B10" s="1">
        <v>520.31742508331365</v>
      </c>
      <c r="C10" s="3">
        <v>3.9</v>
      </c>
      <c r="D10" s="1">
        <f t="shared" si="0"/>
        <v>20.292379578249232</v>
      </c>
      <c r="E10" s="1">
        <f t="shared" si="1"/>
        <v>1.6290576541025992</v>
      </c>
      <c r="F10" s="4">
        <v>6.5023999999998523</v>
      </c>
      <c r="G10" s="1">
        <f t="shared" si="2"/>
        <v>33.833120248616616</v>
      </c>
      <c r="H10" s="1">
        <f t="shared" si="3"/>
        <v>4.5503681496310762</v>
      </c>
      <c r="I10" s="4">
        <v>10.200000000000045</v>
      </c>
      <c r="J10" s="1">
        <f t="shared" si="4"/>
        <v>53.072377358498223</v>
      </c>
      <c r="K10" s="4">
        <f t="shared" si="5"/>
        <v>8.5675327701487802</v>
      </c>
    </row>
    <row r="11" spans="1:11" x14ac:dyDescent="0.25">
      <c r="A11" s="2">
        <v>2029</v>
      </c>
      <c r="B11" s="1">
        <v>568.75456827296443</v>
      </c>
      <c r="C11" s="3">
        <v>3.9</v>
      </c>
      <c r="D11" s="1">
        <f t="shared" si="0"/>
        <v>22.181428162645613</v>
      </c>
      <c r="E11" s="1">
        <f t="shared" si="1"/>
        <v>1.8890485843963809</v>
      </c>
      <c r="F11" s="4">
        <v>6.8856999999999289</v>
      </c>
      <c r="G11" s="1">
        <f t="shared" si="2"/>
        <v>39.162733307571109</v>
      </c>
      <c r="H11" s="1">
        <f t="shared" si="3"/>
        <v>5.329613058954493</v>
      </c>
      <c r="I11" s="4">
        <v>11.100000000000136</v>
      </c>
      <c r="J11" s="1">
        <f t="shared" si="4"/>
        <v>63.131757078299827</v>
      </c>
      <c r="K11" s="4">
        <f t="shared" si="5"/>
        <v>10.059379719801605</v>
      </c>
    </row>
    <row r="12" spans="1:11" x14ac:dyDescent="0.25">
      <c r="A12" s="2">
        <v>2030</v>
      </c>
      <c r="B12" s="1">
        <v>626.70833333333303</v>
      </c>
      <c r="C12" s="3">
        <v>3.9</v>
      </c>
      <c r="D12" s="1">
        <f t="shared" si="0"/>
        <v>24.441624999999984</v>
      </c>
      <c r="E12" s="1">
        <f t="shared" si="1"/>
        <v>2.2601968373543713</v>
      </c>
      <c r="F12" s="4">
        <v>7.2689999999998918</v>
      </c>
      <c r="G12" s="1">
        <f t="shared" si="2"/>
        <v>45.555428749999301</v>
      </c>
      <c r="H12" s="1">
        <f t="shared" si="3"/>
        <v>6.3926954424281917</v>
      </c>
      <c r="I12" s="4">
        <v>12</v>
      </c>
      <c r="J12" s="1">
        <f t="shared" si="4"/>
        <v>75.20499999999997</v>
      </c>
      <c r="K12" s="4">
        <f t="shared" si="5"/>
        <v>12.073242921700142</v>
      </c>
    </row>
    <row r="13" spans="1:11" x14ac:dyDescent="0.25">
      <c r="A13" s="2">
        <v>2031</v>
      </c>
      <c r="B13" s="1">
        <v>693.99667221315462</v>
      </c>
      <c r="C13" s="3">
        <v>3.9</v>
      </c>
      <c r="D13" s="1">
        <f t="shared" si="0"/>
        <v>27.06587021631303</v>
      </c>
      <c r="E13" s="1">
        <f t="shared" si="1"/>
        <v>2.6242452163130459</v>
      </c>
      <c r="F13" s="4">
        <v>7.6522999999998547</v>
      </c>
      <c r="G13" s="1">
        <f t="shared" si="2"/>
        <v>53.106707347766225</v>
      </c>
      <c r="H13" s="1">
        <f t="shared" si="3"/>
        <v>7.5512785977669239</v>
      </c>
      <c r="I13" s="4">
        <v>12.900000000000091</v>
      </c>
      <c r="J13" s="1">
        <f t="shared" si="4"/>
        <v>89.525570715497579</v>
      </c>
      <c r="K13" s="4">
        <f t="shared" si="5"/>
        <v>14.32057071549761</v>
      </c>
    </row>
    <row r="14" spans="1:11" x14ac:dyDescent="0.25">
      <c r="A14" s="2">
        <v>2032</v>
      </c>
      <c r="B14" s="1">
        <v>756.56104328522622</v>
      </c>
      <c r="C14" s="3">
        <v>3.9</v>
      </c>
      <c r="D14" s="1">
        <f t="shared" si="0"/>
        <v>29.50588068812382</v>
      </c>
      <c r="E14" s="1">
        <f t="shared" si="1"/>
        <v>2.4400104718107904</v>
      </c>
      <c r="F14" s="4">
        <v>8.0355999999999312</v>
      </c>
      <c r="G14" s="1">
        <f t="shared" si="2"/>
        <v>60.794219194227118</v>
      </c>
      <c r="H14" s="1">
        <f t="shared" si="3"/>
        <v>7.6875118464608931</v>
      </c>
      <c r="I14" s="4">
        <v>13.799999999999955</v>
      </c>
      <c r="J14" s="1">
        <f t="shared" si="4"/>
        <v>104.40542397336087</v>
      </c>
      <c r="K14" s="4">
        <f t="shared" si="5"/>
        <v>14.879853257863289</v>
      </c>
    </row>
    <row r="15" spans="1:11" x14ac:dyDescent="0.25">
      <c r="A15" s="2">
        <v>2033</v>
      </c>
      <c r="B15" s="1">
        <v>817.58645276263553</v>
      </c>
      <c r="C15" s="3">
        <v>3.9</v>
      </c>
      <c r="D15" s="1">
        <f t="shared" si="0"/>
        <v>31.885871657742786</v>
      </c>
      <c r="E15" s="1">
        <f t="shared" si="1"/>
        <v>2.3799909696189658</v>
      </c>
      <c r="F15" s="4">
        <v>8.4188999999998941</v>
      </c>
      <c r="G15" s="1">
        <f t="shared" si="2"/>
        <v>68.831785871632661</v>
      </c>
      <c r="H15" s="1">
        <f t="shared" si="3"/>
        <v>8.0375666774055432</v>
      </c>
      <c r="I15" s="4">
        <v>14.700000000000045</v>
      </c>
      <c r="J15" s="1">
        <f t="shared" si="4"/>
        <v>120.1852085561078</v>
      </c>
      <c r="K15" s="4">
        <f t="shared" si="5"/>
        <v>15.779784582746927</v>
      </c>
    </row>
    <row r="16" spans="1:11" x14ac:dyDescent="0.25">
      <c r="A16" s="2">
        <v>2034</v>
      </c>
      <c r="B16" s="1">
        <v>887.18489984569067</v>
      </c>
      <c r="C16" s="3">
        <v>3.9</v>
      </c>
      <c r="D16" s="1">
        <f t="shared" si="0"/>
        <v>34.600211093981933</v>
      </c>
      <c r="E16" s="1">
        <f t="shared" si="1"/>
        <v>2.7143394362391469</v>
      </c>
      <c r="F16" s="4">
        <v>8.802199999999857</v>
      </c>
      <c r="G16" s="1">
        <f t="shared" si="2"/>
        <v>78.091789254216124</v>
      </c>
      <c r="H16" s="1">
        <f t="shared" si="3"/>
        <v>9.2600033825834629</v>
      </c>
      <c r="I16" s="4">
        <v>15.600000000000136</v>
      </c>
      <c r="J16" s="1">
        <f t="shared" si="4"/>
        <v>138.40084437592895</v>
      </c>
      <c r="K16" s="4">
        <f t="shared" si="5"/>
        <v>18.215635819821159</v>
      </c>
    </row>
    <row r="17" spans="1:11" x14ac:dyDescent="0.25">
      <c r="A17" s="2">
        <v>2035</v>
      </c>
      <c r="B17" s="1">
        <v>969.59534368075447</v>
      </c>
      <c r="C17" s="3">
        <v>3.9</v>
      </c>
      <c r="D17" s="1">
        <f t="shared" si="0"/>
        <v>37.814218403549425</v>
      </c>
      <c r="E17" s="1">
        <f t="shared" si="1"/>
        <v>3.2140073095674921</v>
      </c>
      <c r="F17" s="4">
        <v>9.1854999999999336</v>
      </c>
      <c r="G17" s="1">
        <f t="shared" si="2"/>
        <v>89.062180293795066</v>
      </c>
      <c r="H17" s="1">
        <f t="shared" si="3"/>
        <v>10.970391039578942</v>
      </c>
      <c r="I17" s="4">
        <v>16.5</v>
      </c>
      <c r="J17" s="1">
        <f t="shared" si="4"/>
        <v>159.98323170732448</v>
      </c>
      <c r="K17" s="4">
        <f t="shared" si="5"/>
        <v>21.582387331395523</v>
      </c>
    </row>
    <row r="18" spans="1:11" x14ac:dyDescent="0.25">
      <c r="A18" s="2">
        <v>2036</v>
      </c>
      <c r="B18" s="1">
        <v>1040.2524271845487</v>
      </c>
      <c r="C18" s="3">
        <v>3.9</v>
      </c>
      <c r="D18" s="1">
        <f t="shared" si="0"/>
        <v>40.569844660197397</v>
      </c>
      <c r="E18" s="1">
        <f t="shared" si="1"/>
        <v>2.7556262566479717</v>
      </c>
      <c r="F18" s="4">
        <v>9.5687999999998965</v>
      </c>
      <c r="G18" s="1">
        <f t="shared" si="2"/>
        <v>99.539674252434011</v>
      </c>
      <c r="H18" s="1">
        <f t="shared" si="3"/>
        <v>10.477493958638945</v>
      </c>
      <c r="I18" s="4">
        <v>17.400000000000091</v>
      </c>
      <c r="J18" s="1">
        <f t="shared" si="4"/>
        <v>181.0039223301124</v>
      </c>
      <c r="K18" s="4">
        <f t="shared" si="5"/>
        <v>21.020690622787924</v>
      </c>
    </row>
    <row r="19" spans="1:11" x14ac:dyDescent="0.25">
      <c r="A19" s="2">
        <v>2037</v>
      </c>
      <c r="B19" s="1">
        <v>1107.5995994455268</v>
      </c>
      <c r="C19" s="3">
        <v>3.9</v>
      </c>
      <c r="D19" s="1">
        <f t="shared" si="0"/>
        <v>43.196384378375541</v>
      </c>
      <c r="E19" s="1">
        <f t="shared" si="1"/>
        <v>2.6265397181781438</v>
      </c>
      <c r="F19" s="4">
        <v>9.9520999999998594</v>
      </c>
      <c r="G19" s="1">
        <f t="shared" si="2"/>
        <v>110.22941973641672</v>
      </c>
      <c r="H19" s="1">
        <f t="shared" si="3"/>
        <v>10.689745483982705</v>
      </c>
      <c r="I19" s="4">
        <v>18.299999999999955</v>
      </c>
      <c r="J19" s="1">
        <f t="shared" si="4"/>
        <v>202.69072669853088</v>
      </c>
      <c r="K19" s="4">
        <f t="shared" si="5"/>
        <v>21.686804368418478</v>
      </c>
    </row>
    <row r="20" spans="1:11" x14ac:dyDescent="0.25">
      <c r="A20" s="2">
        <v>2038</v>
      </c>
      <c r="B20" s="1">
        <v>1182.366008807621</v>
      </c>
      <c r="C20" s="3">
        <v>3.9</v>
      </c>
      <c r="D20" s="1">
        <f t="shared" si="0"/>
        <v>46.112274343497219</v>
      </c>
      <c r="E20" s="1">
        <f t="shared" si="1"/>
        <v>2.9158899651216785</v>
      </c>
      <c r="F20" s="4">
        <v>10.335399999999936</v>
      </c>
      <c r="G20" s="1">
        <f t="shared" si="2"/>
        <v>122.2022564743021</v>
      </c>
      <c r="H20" s="1">
        <f t="shared" si="3"/>
        <v>11.972836737885387</v>
      </c>
      <c r="I20" s="4">
        <v>19.200000000000045</v>
      </c>
      <c r="J20" s="1">
        <f t="shared" si="4"/>
        <v>227.01427369106378</v>
      </c>
      <c r="K20" s="4">
        <f t="shared" si="5"/>
        <v>24.323546992532897</v>
      </c>
    </row>
    <row r="21" spans="1:11" x14ac:dyDescent="0.25">
      <c r="A21" s="2">
        <v>2039</v>
      </c>
      <c r="B21" s="1">
        <v>1252.9577035082805</v>
      </c>
      <c r="C21" s="3">
        <v>3.9</v>
      </c>
      <c r="D21" s="1">
        <f t="shared" si="0"/>
        <v>48.865350436822936</v>
      </c>
      <c r="E21" s="1">
        <f t="shared" si="1"/>
        <v>2.753076093325717</v>
      </c>
      <c r="F21" s="4">
        <v>10.718699999999899</v>
      </c>
      <c r="G21" s="1">
        <f t="shared" si="2"/>
        <v>134.3007773659408</v>
      </c>
      <c r="H21" s="1">
        <f t="shared" si="3"/>
        <v>12.098520891638699</v>
      </c>
      <c r="I21" s="4">
        <v>20.100000000000136</v>
      </c>
      <c r="J21" s="1">
        <f t="shared" si="4"/>
        <v>251.84449840516609</v>
      </c>
      <c r="K21" s="4">
        <f t="shared" si="5"/>
        <v>24.830224714102314</v>
      </c>
    </row>
    <row r="22" spans="1:11" x14ac:dyDescent="0.25">
      <c r="A22" s="2">
        <v>2040</v>
      </c>
      <c r="B22" s="1">
        <v>1322.9482439924116</v>
      </c>
      <c r="C22" s="3">
        <v>3.9</v>
      </c>
      <c r="D22" s="1">
        <f t="shared" si="0"/>
        <v>51.594981515704049</v>
      </c>
      <c r="E22" s="1">
        <f t="shared" si="1"/>
        <v>2.7296310788811127</v>
      </c>
      <c r="F22" s="4">
        <v>11.101999999999862</v>
      </c>
      <c r="G22" s="1">
        <f t="shared" si="2"/>
        <v>146.87371404803571</v>
      </c>
      <c r="H22" s="1">
        <f t="shared" si="3"/>
        <v>12.572936682094905</v>
      </c>
      <c r="I22" s="4">
        <v>21</v>
      </c>
      <c r="J22" s="1">
        <f t="shared" si="4"/>
        <v>277.81913123840644</v>
      </c>
      <c r="K22" s="4">
        <f t="shared" si="5"/>
        <v>25.974632833240349</v>
      </c>
    </row>
    <row r="23" spans="1:11" x14ac:dyDescent="0.25">
      <c r="A23" s="2">
        <v>2041</v>
      </c>
      <c r="B23" s="1">
        <v>1403.7729415024312</v>
      </c>
      <c r="C23" s="3">
        <v>3.9</v>
      </c>
      <c r="D23" s="1">
        <f t="shared" si="0"/>
        <v>54.747144718594818</v>
      </c>
      <c r="E23" s="1">
        <f t="shared" si="1"/>
        <v>3.1521632028907689</v>
      </c>
      <c r="F23" s="4">
        <v>11.485299999999938</v>
      </c>
      <c r="G23" s="1">
        <f t="shared" si="2"/>
        <v>161.22753365037786</v>
      </c>
      <c r="H23" s="1">
        <f t="shared" si="3"/>
        <v>14.353819602342156</v>
      </c>
      <c r="I23" s="4">
        <v>21.900000000000091</v>
      </c>
      <c r="J23" s="1">
        <f t="shared" si="4"/>
        <v>307.42627418903373</v>
      </c>
      <c r="K23" s="4">
        <f t="shared" si="5"/>
        <v>29.607142950627292</v>
      </c>
    </row>
    <row r="24" spans="1:11" x14ac:dyDescent="0.25">
      <c r="A24" s="2">
        <v>2042</v>
      </c>
      <c r="B24" s="1">
        <v>1494.0923531580422</v>
      </c>
      <c r="C24" s="3">
        <v>3.9</v>
      </c>
      <c r="D24" s="1">
        <f t="shared" si="0"/>
        <v>58.26960177316365</v>
      </c>
      <c r="E24" s="1">
        <f t="shared" si="1"/>
        <v>3.5224570545688323</v>
      </c>
      <c r="F24" s="4">
        <v>11.868599999999901</v>
      </c>
      <c r="G24" s="1">
        <f t="shared" si="2"/>
        <v>177.32784502691393</v>
      </c>
      <c r="H24" s="1">
        <f t="shared" si="3"/>
        <v>16.100311376536069</v>
      </c>
      <c r="I24" s="4">
        <v>22.799999999999955</v>
      </c>
      <c r="J24" s="1">
        <f t="shared" si="4"/>
        <v>340.65305652003292</v>
      </c>
      <c r="K24" s="4">
        <f t="shared" si="5"/>
        <v>33.226782330999185</v>
      </c>
    </row>
    <row r="25" spans="1:11" x14ac:dyDescent="0.25">
      <c r="A25" s="2">
        <v>2043</v>
      </c>
      <c r="B25" s="1">
        <v>1600.2309468820456</v>
      </c>
      <c r="C25" s="3">
        <v>3.9</v>
      </c>
      <c r="D25" s="1">
        <f t="shared" si="0"/>
        <v>62.409006928399776</v>
      </c>
      <c r="E25" s="1">
        <f t="shared" si="1"/>
        <v>4.1394051552361262</v>
      </c>
      <c r="F25" s="4">
        <v>12.251899999999864</v>
      </c>
      <c r="G25" s="1">
        <f t="shared" si="2"/>
        <v>196.05869538103917</v>
      </c>
      <c r="H25" s="1">
        <f t="shared" si="3"/>
        <v>18.730850354125238</v>
      </c>
      <c r="I25" s="4">
        <v>23.700000000000045</v>
      </c>
      <c r="J25" s="1">
        <f t="shared" si="4"/>
        <v>379.25473441104549</v>
      </c>
      <c r="K25" s="4">
        <f t="shared" si="5"/>
        <v>38.601677891012571</v>
      </c>
    </row>
    <row r="26" spans="1:11" x14ac:dyDescent="0.25">
      <c r="A26" s="2">
        <v>2044</v>
      </c>
      <c r="B26" s="1">
        <v>1700.8384798097125</v>
      </c>
      <c r="C26" s="3">
        <v>3.9</v>
      </c>
      <c r="D26" s="1">
        <f t="shared" si="0"/>
        <v>66.332700712578784</v>
      </c>
      <c r="E26" s="1">
        <f t="shared" si="1"/>
        <v>3.923693784179008</v>
      </c>
      <c r="F26" s="4">
        <v>12.635199999999941</v>
      </c>
      <c r="G26" s="1">
        <f t="shared" si="2"/>
        <v>214.90434360091578</v>
      </c>
      <c r="H26" s="1">
        <f t="shared" si="3"/>
        <v>18.845648219876608</v>
      </c>
      <c r="I26" s="4">
        <v>24.600000000000136</v>
      </c>
      <c r="J26" s="1">
        <f t="shared" si="4"/>
        <v>418.40626603319157</v>
      </c>
      <c r="K26" s="4">
        <f t="shared" si="5"/>
        <v>39.151531622146081</v>
      </c>
    </row>
    <row r="27" spans="1:11" x14ac:dyDescent="0.25">
      <c r="A27" s="2">
        <v>2045</v>
      </c>
      <c r="B27" s="1">
        <v>1824.7881473273449</v>
      </c>
      <c r="C27" s="3">
        <v>3.9</v>
      </c>
      <c r="D27" s="1">
        <f t="shared" si="0"/>
        <v>71.166737745766454</v>
      </c>
      <c r="E27" s="1">
        <f t="shared" si="1"/>
        <v>4.8340370331876699</v>
      </c>
      <c r="F27" s="4">
        <v>13.018499999999904</v>
      </c>
      <c r="G27" s="1">
        <f t="shared" si="2"/>
        <v>237.56004495980861</v>
      </c>
      <c r="H27" s="1">
        <f t="shared" si="3"/>
        <v>22.655701358892827</v>
      </c>
      <c r="I27" s="4">
        <v>25.5</v>
      </c>
      <c r="J27" s="1">
        <f t="shared" si="4"/>
        <v>465.32097756847293</v>
      </c>
      <c r="K27" s="4">
        <f t="shared" si="5"/>
        <v>46.914711535281356</v>
      </c>
    </row>
    <row r="28" spans="1:11" x14ac:dyDescent="0.25">
      <c r="A28" s="2">
        <v>2046</v>
      </c>
      <c r="B28" s="1">
        <v>1948.8836565099393</v>
      </c>
      <c r="C28" s="3">
        <v>3.9</v>
      </c>
      <c r="D28" s="1">
        <f t="shared" si="0"/>
        <v>76.006462603887627</v>
      </c>
      <c r="E28" s="1">
        <f t="shared" si="1"/>
        <v>4.8397248581211727</v>
      </c>
      <c r="F28" s="4">
        <v>13.401799999999866</v>
      </c>
      <c r="G28" s="1">
        <f t="shared" si="2"/>
        <v>261.18548987814643</v>
      </c>
      <c r="H28" s="1">
        <f t="shared" si="3"/>
        <v>23.62544491833782</v>
      </c>
      <c r="I28" s="4">
        <v>26.400000000000091</v>
      </c>
      <c r="J28" s="1">
        <f t="shared" si="4"/>
        <v>514.50528531862574</v>
      </c>
      <c r="K28" s="4">
        <f t="shared" si="5"/>
        <v>49.184307750152811</v>
      </c>
    </row>
    <row r="29" spans="1:11" x14ac:dyDescent="0.25">
      <c r="A29" s="2">
        <v>2047</v>
      </c>
      <c r="B29" s="1">
        <v>2061.3610389613591</v>
      </c>
      <c r="C29" s="3">
        <v>3.9</v>
      </c>
      <c r="D29" s="1">
        <f t="shared" si="0"/>
        <v>80.393080519493012</v>
      </c>
      <c r="E29" s="1">
        <f t="shared" si="1"/>
        <v>4.3866179156053846</v>
      </c>
      <c r="F29" s="4">
        <v>13.785099999999943</v>
      </c>
      <c r="G29" s="1">
        <f t="shared" si="2"/>
        <v>284.16068058186113</v>
      </c>
      <c r="H29" s="1">
        <f t="shared" si="3"/>
        <v>22.975190703714702</v>
      </c>
      <c r="I29" s="4">
        <v>27.299999999999955</v>
      </c>
      <c r="J29" s="1">
        <f t="shared" si="4"/>
        <v>562.7515636364501</v>
      </c>
      <c r="K29" s="4">
        <f t="shared" si="5"/>
        <v>48.246278317824363</v>
      </c>
    </row>
    <row r="30" spans="1:11" x14ac:dyDescent="0.25">
      <c r="A30" s="2">
        <v>2048</v>
      </c>
      <c r="B30" s="1">
        <v>2209.7880652106551</v>
      </c>
      <c r="C30" s="3">
        <v>3.9</v>
      </c>
      <c r="D30" s="1">
        <f t="shared" si="0"/>
        <v>86.181734543215555</v>
      </c>
      <c r="E30" s="1">
        <f t="shared" si="1"/>
        <v>5.7886540237225432</v>
      </c>
      <c r="F30" s="4">
        <v>14.168399999999906</v>
      </c>
      <c r="G30" s="1">
        <f t="shared" si="2"/>
        <v>313.0916122313044</v>
      </c>
      <c r="H30" s="1">
        <f t="shared" si="3"/>
        <v>28.930931649443266</v>
      </c>
      <c r="I30" s="4">
        <v>28.200000000000045</v>
      </c>
      <c r="J30" s="1">
        <f t="shared" si="4"/>
        <v>623.16023438940579</v>
      </c>
      <c r="K30" s="4">
        <f t="shared" si="5"/>
        <v>60.408670752955686</v>
      </c>
    </row>
    <row r="31" spans="1:11" x14ac:dyDescent="0.25">
      <c r="A31" s="2">
        <v>2049</v>
      </c>
      <c r="B31" s="1">
        <v>2376.1063122924361</v>
      </c>
      <c r="C31" s="3">
        <v>3.9</v>
      </c>
      <c r="D31" s="1">
        <f t="shared" si="0"/>
        <v>92.668146179405014</v>
      </c>
      <c r="E31" s="1">
        <f t="shared" si="1"/>
        <v>6.4864116361894588</v>
      </c>
      <c r="F31" s="4">
        <v>14.551699999999869</v>
      </c>
      <c r="G31" s="1">
        <f t="shared" si="2"/>
        <v>345.76386224585525</v>
      </c>
      <c r="H31" s="1">
        <f t="shared" si="3"/>
        <v>32.672250014550855</v>
      </c>
      <c r="I31" s="4">
        <v>29.100000000000136</v>
      </c>
      <c r="J31" s="1">
        <f t="shared" si="4"/>
        <v>691.44693687710208</v>
      </c>
      <c r="K31" s="4">
        <f t="shared" si="5"/>
        <v>68.286702487696289</v>
      </c>
    </row>
    <row r="32" spans="1:11" x14ac:dyDescent="0.25">
      <c r="A32" s="2">
        <v>2050</v>
      </c>
      <c r="B32" s="1">
        <v>2535</v>
      </c>
      <c r="C32" s="3">
        <v>3.9</v>
      </c>
      <c r="D32" s="1">
        <f t="shared" si="0"/>
        <v>98.864999999999995</v>
      </c>
      <c r="E32" s="1">
        <f t="shared" si="1"/>
        <v>6.1968538205949812</v>
      </c>
      <c r="F32" s="4">
        <v>14.934999999999945</v>
      </c>
      <c r="G32" s="1">
        <f t="shared" si="2"/>
        <v>378.60224999999861</v>
      </c>
      <c r="H32" s="1">
        <f t="shared" si="3"/>
        <v>32.838387754143355</v>
      </c>
      <c r="I32" s="4">
        <v>30</v>
      </c>
      <c r="J32" s="1">
        <f t="shared" si="4"/>
        <v>760.5</v>
      </c>
      <c r="K32" s="4">
        <f t="shared" si="5"/>
        <v>69.053063122897925</v>
      </c>
    </row>
    <row r="35" spans="1:6" ht="15" customHeight="1" x14ac:dyDescent="0.25">
      <c r="A35" s="20" t="s">
        <v>9</v>
      </c>
      <c r="B35" s="20"/>
      <c r="C35" s="20"/>
      <c r="D35" s="20"/>
      <c r="E35" s="20"/>
      <c r="F35" s="20"/>
    </row>
    <row r="36" spans="1:6" x14ac:dyDescent="0.25">
      <c r="A36" s="20"/>
      <c r="B36" s="20"/>
      <c r="C36" s="20"/>
      <c r="D36" s="20"/>
      <c r="E36" s="20"/>
      <c r="F36" s="20"/>
    </row>
    <row r="37" spans="1:6" x14ac:dyDescent="0.25">
      <c r="A37" s="20"/>
      <c r="B37" s="20"/>
      <c r="C37" s="20"/>
      <c r="D37" s="20"/>
      <c r="E37" s="20"/>
      <c r="F37" s="20"/>
    </row>
    <row r="38" spans="1:6" x14ac:dyDescent="0.25">
      <c r="A38" s="20"/>
      <c r="B38" s="20"/>
      <c r="C38" s="20"/>
      <c r="D38" s="20"/>
      <c r="E38" s="20"/>
      <c r="F38" s="20"/>
    </row>
    <row r="39" spans="1:6" x14ac:dyDescent="0.25">
      <c r="A39" s="20"/>
      <c r="B39" s="20"/>
      <c r="C39" s="20"/>
      <c r="D39" s="20"/>
      <c r="E39" s="20"/>
      <c r="F39" s="20"/>
    </row>
    <row r="40" spans="1:6" x14ac:dyDescent="0.25">
      <c r="A40" s="20"/>
      <c r="B40" s="20"/>
      <c r="C40" s="20"/>
      <c r="D40" s="20"/>
      <c r="E40" s="20"/>
      <c r="F40" s="20"/>
    </row>
    <row r="41" spans="1:6" x14ac:dyDescent="0.25">
      <c r="A41" s="20"/>
      <c r="B41" s="20"/>
      <c r="C41" s="20"/>
      <c r="D41" s="20"/>
      <c r="E41" s="20"/>
      <c r="F41" s="20"/>
    </row>
    <row r="42" spans="1:6" x14ac:dyDescent="0.25">
      <c r="A42" s="20"/>
      <c r="B42" s="20"/>
      <c r="C42" s="20"/>
      <c r="D42" s="20"/>
      <c r="E42" s="20"/>
      <c r="F42" s="20"/>
    </row>
    <row r="43" spans="1:6" x14ac:dyDescent="0.25">
      <c r="A43" s="20"/>
      <c r="B43" s="20"/>
      <c r="C43" s="20"/>
      <c r="D43" s="20"/>
      <c r="E43" s="20"/>
      <c r="F43" s="20"/>
    </row>
    <row r="44" spans="1:6" x14ac:dyDescent="0.25">
      <c r="A44" s="20"/>
      <c r="B44" s="20"/>
      <c r="C44" s="20"/>
      <c r="D44" s="20"/>
      <c r="E44" s="20"/>
      <c r="F44" s="20"/>
    </row>
    <row r="45" spans="1:6" x14ac:dyDescent="0.25">
      <c r="A45" s="20"/>
      <c r="B45" s="20"/>
      <c r="C45" s="20"/>
      <c r="D45" s="20"/>
      <c r="E45" s="20"/>
      <c r="F45" s="20"/>
    </row>
    <row r="46" spans="1:6" x14ac:dyDescent="0.25">
      <c r="A46" s="20"/>
      <c r="B46" s="20"/>
      <c r="C46" s="20"/>
      <c r="D46" s="20"/>
      <c r="E46" s="20"/>
      <c r="F46" s="20"/>
    </row>
    <row r="47" spans="1:6" x14ac:dyDescent="0.25">
      <c r="A47" s="20"/>
      <c r="B47" s="20"/>
      <c r="C47" s="20"/>
      <c r="D47" s="20"/>
      <c r="E47" s="20"/>
      <c r="F47" s="20"/>
    </row>
    <row r="48" spans="1:6" x14ac:dyDescent="0.25">
      <c r="A48" s="20"/>
      <c r="B48" s="20"/>
      <c r="C48" s="20"/>
      <c r="D48" s="20"/>
      <c r="E48" s="20"/>
      <c r="F48" s="20"/>
    </row>
    <row r="61" spans="4:33" x14ac:dyDescent="0.25">
      <c r="D61">
        <v>3.8192999999998847</v>
      </c>
      <c r="E61">
        <v>4.2025999999999613</v>
      </c>
      <c r="F61">
        <v>4.5858999999999241</v>
      </c>
      <c r="G61">
        <v>4.969199999999887</v>
      </c>
      <c r="H61">
        <v>5.3524999999998499</v>
      </c>
      <c r="I61">
        <v>5.7357999999999265</v>
      </c>
      <c r="J61">
        <v>6.1190999999998894</v>
      </c>
      <c r="K61">
        <v>6.5023999999998523</v>
      </c>
      <c r="L61">
        <v>6.8856999999999289</v>
      </c>
      <c r="M61">
        <v>7.2689999999998918</v>
      </c>
      <c r="N61">
        <v>7.6522999999998547</v>
      </c>
      <c r="O61">
        <v>8.0355999999999312</v>
      </c>
      <c r="P61">
        <v>8.4188999999998941</v>
      </c>
      <c r="Q61">
        <v>8.802199999999857</v>
      </c>
      <c r="R61">
        <v>9.1854999999999336</v>
      </c>
      <c r="S61">
        <v>9.5687999999998965</v>
      </c>
      <c r="T61">
        <v>9.9520999999998594</v>
      </c>
      <c r="U61">
        <v>10.335399999999936</v>
      </c>
      <c r="V61">
        <v>10.718699999999899</v>
      </c>
      <c r="W61">
        <v>11.101999999999862</v>
      </c>
      <c r="X61">
        <v>11.485299999999938</v>
      </c>
      <c r="Y61">
        <v>11.868599999999901</v>
      </c>
      <c r="Z61">
        <v>12.251899999999864</v>
      </c>
      <c r="AA61">
        <v>12.635199999999941</v>
      </c>
      <c r="AB61">
        <v>13.018499999999904</v>
      </c>
      <c r="AC61">
        <v>13.401799999999866</v>
      </c>
      <c r="AD61">
        <v>13.785099999999943</v>
      </c>
      <c r="AE61">
        <v>14.168399999999906</v>
      </c>
      <c r="AF61">
        <v>14.551699999999869</v>
      </c>
      <c r="AG61">
        <v>14.934999999999945</v>
      </c>
    </row>
    <row r="62" spans="4:33" x14ac:dyDescent="0.25">
      <c r="D62">
        <v>3.8192999999998847</v>
      </c>
    </row>
    <row r="63" spans="4:33" x14ac:dyDescent="0.25">
      <c r="D63">
        <v>4.2025999999999613</v>
      </c>
    </row>
    <row r="64" spans="4:33" x14ac:dyDescent="0.25">
      <c r="D64">
        <v>4.5858999999999241</v>
      </c>
    </row>
    <row r="65" spans="4:4" x14ac:dyDescent="0.25">
      <c r="D65">
        <v>4.969199999999887</v>
      </c>
    </row>
    <row r="66" spans="4:4" x14ac:dyDescent="0.25">
      <c r="D66">
        <v>5.3524999999998499</v>
      </c>
    </row>
    <row r="67" spans="4:4" x14ac:dyDescent="0.25">
      <c r="D67">
        <v>5.7357999999999265</v>
      </c>
    </row>
    <row r="68" spans="4:4" x14ac:dyDescent="0.25">
      <c r="D68">
        <v>6.1190999999998894</v>
      </c>
    </row>
    <row r="69" spans="4:4" x14ac:dyDescent="0.25">
      <c r="D69">
        <v>6.5023999999998523</v>
      </c>
    </row>
    <row r="70" spans="4:4" x14ac:dyDescent="0.25">
      <c r="D70">
        <v>6.8856999999999289</v>
      </c>
    </row>
    <row r="71" spans="4:4" x14ac:dyDescent="0.25">
      <c r="D71">
        <v>7.2689999999998918</v>
      </c>
    </row>
    <row r="72" spans="4:4" x14ac:dyDescent="0.25">
      <c r="D72">
        <v>7.6522999999998547</v>
      </c>
    </row>
    <row r="73" spans="4:4" x14ac:dyDescent="0.25">
      <c r="D73">
        <v>8.0355999999999312</v>
      </c>
    </row>
    <row r="74" spans="4:4" x14ac:dyDescent="0.25">
      <c r="D74">
        <v>8.4188999999998941</v>
      </c>
    </row>
    <row r="75" spans="4:4" x14ac:dyDescent="0.25">
      <c r="D75">
        <v>8.802199999999857</v>
      </c>
    </row>
    <row r="76" spans="4:4" x14ac:dyDescent="0.25">
      <c r="D76">
        <v>9.1854999999999336</v>
      </c>
    </row>
    <row r="77" spans="4:4" x14ac:dyDescent="0.25">
      <c r="D77">
        <v>9.5687999999998965</v>
      </c>
    </row>
    <row r="78" spans="4:4" x14ac:dyDescent="0.25">
      <c r="D78">
        <v>9.9520999999998594</v>
      </c>
    </row>
    <row r="79" spans="4:4" x14ac:dyDescent="0.25">
      <c r="D79">
        <v>10.335399999999936</v>
      </c>
    </row>
    <row r="80" spans="4:4" x14ac:dyDescent="0.25">
      <c r="D80">
        <v>10.718699999999899</v>
      </c>
    </row>
    <row r="81" spans="4:4" x14ac:dyDescent="0.25">
      <c r="D81">
        <v>11.101999999999862</v>
      </c>
    </row>
    <row r="82" spans="4:4" x14ac:dyDescent="0.25">
      <c r="D82">
        <v>11.485299999999938</v>
      </c>
    </row>
    <row r="83" spans="4:4" x14ac:dyDescent="0.25">
      <c r="D83">
        <v>11.868599999999901</v>
      </c>
    </row>
    <row r="84" spans="4:4" x14ac:dyDescent="0.25">
      <c r="D84">
        <v>12.251899999999864</v>
      </c>
    </row>
    <row r="85" spans="4:4" x14ac:dyDescent="0.25">
      <c r="D85">
        <v>12.635199999999941</v>
      </c>
    </row>
    <row r="86" spans="4:4" x14ac:dyDescent="0.25">
      <c r="D86">
        <v>13.018499999999904</v>
      </c>
    </row>
    <row r="87" spans="4:4" x14ac:dyDescent="0.25">
      <c r="D87">
        <v>13.401799999999866</v>
      </c>
    </row>
    <row r="88" spans="4:4" x14ac:dyDescent="0.25">
      <c r="D88">
        <v>13.785099999999943</v>
      </c>
    </row>
    <row r="89" spans="4:4" x14ac:dyDescent="0.25">
      <c r="D89">
        <v>14.168399999999906</v>
      </c>
    </row>
    <row r="90" spans="4:4" x14ac:dyDescent="0.25">
      <c r="D90">
        <v>14.551699999999869</v>
      </c>
    </row>
    <row r="91" spans="4:4" x14ac:dyDescent="0.25">
      <c r="D91">
        <v>14.934999999999945</v>
      </c>
    </row>
  </sheetData>
  <mergeCells count="1">
    <mergeCell ref="A35:F4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3DD7-EA19-45CC-8BE5-5D32C848EBF8}">
  <dimension ref="A1:J32"/>
  <sheetViews>
    <sheetView workbookViewId="0">
      <selection activeCell="C9" sqref="C9"/>
    </sheetView>
  </sheetViews>
  <sheetFormatPr defaultColWidth="8.85546875" defaultRowHeight="15" x14ac:dyDescent="0.25"/>
  <cols>
    <col min="1" max="1" width="7.42578125" style="11" bestFit="1" customWidth="1"/>
    <col min="2" max="2" width="32.85546875" style="12" bestFit="1" customWidth="1"/>
    <col min="3" max="3" width="28.5703125" style="12" bestFit="1" customWidth="1"/>
    <col min="4" max="4" width="35.28515625" style="12" bestFit="1" customWidth="1"/>
    <col min="5" max="5" width="37.85546875" style="12" bestFit="1" customWidth="1"/>
    <col min="6" max="6" width="18.28515625" style="12" bestFit="1" customWidth="1"/>
    <col min="7" max="7" width="12.85546875" style="12" bestFit="1" customWidth="1"/>
    <col min="8" max="8" width="33.42578125" bestFit="1" customWidth="1"/>
    <col min="9" max="9" width="62" bestFit="1" customWidth="1"/>
    <col min="10" max="10" width="62" customWidth="1"/>
  </cols>
  <sheetData>
    <row r="1" spans="1:10" x14ac:dyDescent="0.25">
      <c r="A1" s="7"/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9" t="s">
        <v>19</v>
      </c>
      <c r="I1" s="8" t="s">
        <v>20</v>
      </c>
      <c r="J1" s="8" t="s">
        <v>21</v>
      </c>
    </row>
    <row r="2" spans="1:10" x14ac:dyDescent="0.25">
      <c r="A2" s="9">
        <v>2023</v>
      </c>
      <c r="B2" s="10">
        <v>812.85435843200003</v>
      </c>
      <c r="C2" s="10">
        <v>1059.23911641</v>
      </c>
      <c r="D2" s="10">
        <v>7431.73</v>
      </c>
      <c r="E2" s="10">
        <v>11.53</v>
      </c>
      <c r="F2" s="6">
        <v>11.53</v>
      </c>
      <c r="G2" s="6">
        <v>70</v>
      </c>
      <c r="H2" s="6">
        <v>11.53</v>
      </c>
      <c r="I2" s="6">
        <v>11.53</v>
      </c>
      <c r="J2" s="10">
        <f t="shared" ref="J2:J29" si="0">C2-B2</f>
        <v>246.38475797799993</v>
      </c>
    </row>
    <row r="3" spans="1:10" x14ac:dyDescent="0.25">
      <c r="A3" s="9">
        <v>2024</v>
      </c>
      <c r="B3" s="10">
        <v>902.55526228600002</v>
      </c>
      <c r="C3" s="10">
        <v>1088.1091710600001</v>
      </c>
      <c r="D3" s="10">
        <v>7678.1147579799999</v>
      </c>
      <c r="E3" s="10">
        <v>13.65</v>
      </c>
      <c r="F3" s="6">
        <v>13.66</v>
      </c>
      <c r="G3" s="6">
        <v>70</v>
      </c>
      <c r="H3" s="6">
        <v>13.65</v>
      </c>
      <c r="I3" s="6">
        <v>13.66</v>
      </c>
      <c r="J3" s="10">
        <f t="shared" si="0"/>
        <v>185.55390877400009</v>
      </c>
    </row>
    <row r="4" spans="1:10" x14ac:dyDescent="0.25">
      <c r="A4" s="9">
        <v>2025</v>
      </c>
      <c r="B4" s="10">
        <v>964.12074958799997</v>
      </c>
      <c r="C4" s="10">
        <v>1114.97589754</v>
      </c>
      <c r="D4" s="10">
        <v>7863.6686667599997</v>
      </c>
      <c r="E4" s="10">
        <v>15.1</v>
      </c>
      <c r="F4" s="6">
        <v>15.1</v>
      </c>
      <c r="G4" s="6">
        <v>70</v>
      </c>
      <c r="H4" s="6">
        <v>15.1</v>
      </c>
      <c r="I4" s="6">
        <v>15.1</v>
      </c>
      <c r="J4" s="10">
        <f t="shared" si="0"/>
        <v>150.85514795200004</v>
      </c>
    </row>
    <row r="5" spans="1:10" x14ac:dyDescent="0.25">
      <c r="A5" s="9">
        <v>2026</v>
      </c>
      <c r="B5" s="10">
        <v>1040.3668706999999</v>
      </c>
      <c r="C5" s="10">
        <v>1144.6990113899999</v>
      </c>
      <c r="D5" s="10">
        <v>8014.5238147099999</v>
      </c>
      <c r="E5" s="10">
        <v>16.96</v>
      </c>
      <c r="F5" s="6">
        <v>16.97</v>
      </c>
      <c r="G5" s="6">
        <v>50</v>
      </c>
      <c r="H5" s="6">
        <v>16.96</v>
      </c>
      <c r="I5" s="6">
        <v>16.97</v>
      </c>
      <c r="J5" s="10">
        <f t="shared" si="0"/>
        <v>104.33214068999996</v>
      </c>
    </row>
    <row r="6" spans="1:10" x14ac:dyDescent="0.25">
      <c r="A6" s="9">
        <v>2027</v>
      </c>
      <c r="B6" s="10">
        <v>1109.1534305</v>
      </c>
      <c r="C6" s="10">
        <v>1171.0117800600001</v>
      </c>
      <c r="D6" s="10">
        <v>8118.8559554000003</v>
      </c>
      <c r="E6" s="10">
        <v>18.66</v>
      </c>
      <c r="F6" s="6">
        <v>18.66</v>
      </c>
      <c r="G6" s="6">
        <v>50</v>
      </c>
      <c r="H6" s="6">
        <v>18.66</v>
      </c>
      <c r="I6" s="6">
        <v>18.66</v>
      </c>
      <c r="J6" s="10">
        <f t="shared" si="0"/>
        <v>61.858349560000079</v>
      </c>
    </row>
    <row r="7" spans="1:10" x14ac:dyDescent="0.25">
      <c r="A7" s="9">
        <v>2028</v>
      </c>
      <c r="B7" s="10">
        <v>1174.2297776600001</v>
      </c>
      <c r="C7" s="10">
        <v>1196.34251092</v>
      </c>
      <c r="D7" s="10">
        <v>8180.7143049599999</v>
      </c>
      <c r="E7" s="10">
        <v>20.29</v>
      </c>
      <c r="F7" s="6">
        <v>20.29</v>
      </c>
      <c r="G7" s="6">
        <v>90.081809694599997</v>
      </c>
      <c r="H7" s="6">
        <v>20.29</v>
      </c>
      <c r="I7" s="6">
        <v>20.29</v>
      </c>
      <c r="J7" s="10">
        <f t="shared" si="0"/>
        <v>22.112733259999914</v>
      </c>
    </row>
    <row r="8" spans="1:10" x14ac:dyDescent="0.25">
      <c r="A8" s="9">
        <v>2029</v>
      </c>
      <c r="B8" s="10">
        <v>1247.8570268000001</v>
      </c>
      <c r="C8" s="10">
        <v>1224.6839439400001</v>
      </c>
      <c r="D8" s="10">
        <v>8202.8270382299997</v>
      </c>
      <c r="E8" s="10">
        <v>22.18</v>
      </c>
      <c r="F8" s="6">
        <v>22.18</v>
      </c>
      <c r="G8" s="6">
        <v>152.248224671</v>
      </c>
      <c r="H8" s="6">
        <v>22.18</v>
      </c>
      <c r="I8" s="6">
        <v>22.18</v>
      </c>
      <c r="J8" s="10">
        <f t="shared" si="0"/>
        <v>-23.173082860000022</v>
      </c>
    </row>
    <row r="9" spans="1:10" x14ac:dyDescent="0.25">
      <c r="A9" s="9">
        <v>2030</v>
      </c>
      <c r="B9" s="10">
        <v>1333.6340939500001</v>
      </c>
      <c r="C9" s="10">
        <v>1251.9919217900001</v>
      </c>
      <c r="D9" s="10">
        <v>8179.6539553700004</v>
      </c>
      <c r="E9" s="10">
        <v>24.44</v>
      </c>
      <c r="F9" s="6">
        <v>24.44</v>
      </c>
      <c r="G9" s="6">
        <v>209.00387053599999</v>
      </c>
      <c r="H9" s="6">
        <v>24.44</v>
      </c>
      <c r="I9" s="6">
        <v>24.44</v>
      </c>
      <c r="J9" s="10">
        <f t="shared" si="0"/>
        <v>-81.642172159999973</v>
      </c>
    </row>
    <row r="10" spans="1:10" x14ac:dyDescent="0.25">
      <c r="A10" s="9">
        <v>2031</v>
      </c>
      <c r="B10" s="10">
        <v>1430.7006323799999</v>
      </c>
      <c r="C10" s="10">
        <v>1283.3203222100001</v>
      </c>
      <c r="D10" s="10">
        <v>8098.0117832100004</v>
      </c>
      <c r="E10" s="10">
        <v>27.06</v>
      </c>
      <c r="F10" s="6">
        <v>27.07</v>
      </c>
      <c r="G10" s="6">
        <v>262.11399006699997</v>
      </c>
      <c r="H10" s="6">
        <v>27.06</v>
      </c>
      <c r="I10" s="6">
        <v>27.07</v>
      </c>
      <c r="J10" s="10">
        <f t="shared" si="0"/>
        <v>-147.3803101699998</v>
      </c>
    </row>
    <row r="11" spans="1:10" x14ac:dyDescent="0.25">
      <c r="A11" s="9">
        <v>2032</v>
      </c>
      <c r="B11" s="10">
        <v>1519.81432215</v>
      </c>
      <c r="C11" s="10">
        <v>1242.35084699</v>
      </c>
      <c r="D11" s="10">
        <v>7950.6314730399999</v>
      </c>
      <c r="E11" s="10">
        <v>29.5</v>
      </c>
      <c r="F11" s="6">
        <v>29.51</v>
      </c>
      <c r="G11" s="6">
        <v>322.62720714099999</v>
      </c>
      <c r="H11" s="6">
        <v>29.5</v>
      </c>
      <c r="I11" s="6">
        <v>29.51</v>
      </c>
      <c r="J11" s="10">
        <f t="shared" si="0"/>
        <v>-277.46347515999992</v>
      </c>
    </row>
    <row r="12" spans="1:10" x14ac:dyDescent="0.25">
      <c r="A12" s="9">
        <v>2033</v>
      </c>
      <c r="B12" s="10">
        <v>1605.50569875</v>
      </c>
      <c r="C12" s="10">
        <v>1274.3420042</v>
      </c>
      <c r="D12" s="10">
        <v>7673.1679978800003</v>
      </c>
      <c r="E12" s="10">
        <v>31.88</v>
      </c>
      <c r="F12" s="6">
        <v>31.89</v>
      </c>
      <c r="G12" s="6">
        <v>400.75658618599999</v>
      </c>
      <c r="H12" s="6">
        <v>31.88</v>
      </c>
      <c r="I12" s="6">
        <v>31.89</v>
      </c>
      <c r="J12" s="10">
        <f t="shared" si="0"/>
        <v>-331.16369454999995</v>
      </c>
    </row>
    <row r="13" spans="1:10" x14ac:dyDescent="0.25">
      <c r="A13" s="9">
        <v>2034</v>
      </c>
      <c r="B13" s="10">
        <v>1701.1547209</v>
      </c>
      <c r="C13" s="10">
        <v>1368.12161866</v>
      </c>
      <c r="D13" s="10">
        <v>7342.0043033299999</v>
      </c>
      <c r="E13" s="10">
        <v>34.590000000000003</v>
      </c>
      <c r="F13" s="6">
        <v>34.6</v>
      </c>
      <c r="G13" s="6">
        <v>488.59923884300002</v>
      </c>
      <c r="H13" s="6">
        <v>34.590000000000003</v>
      </c>
      <c r="I13" s="6">
        <v>34.6</v>
      </c>
      <c r="J13" s="10">
        <f t="shared" si="0"/>
        <v>-333.03310224000006</v>
      </c>
    </row>
    <row r="14" spans="1:10" x14ac:dyDescent="0.25">
      <c r="A14" s="9">
        <v>2035</v>
      </c>
      <c r="B14" s="10">
        <v>1812.0457222099999</v>
      </c>
      <c r="C14" s="10">
        <v>1387.84608697</v>
      </c>
      <c r="D14" s="10">
        <v>7008.9712010900002</v>
      </c>
      <c r="E14" s="10">
        <v>37.799999999999997</v>
      </c>
      <c r="F14" s="6">
        <v>37.81</v>
      </c>
      <c r="G14" s="6">
        <v>662.42299815199999</v>
      </c>
      <c r="H14" s="6">
        <v>37.799999999999997</v>
      </c>
      <c r="I14" s="6">
        <v>37.81</v>
      </c>
      <c r="J14" s="10">
        <f t="shared" si="0"/>
        <v>-424.19963523999991</v>
      </c>
    </row>
    <row r="15" spans="1:10" x14ac:dyDescent="0.25">
      <c r="A15" s="9">
        <v>2036</v>
      </c>
      <c r="B15" s="10">
        <v>1906.43972439</v>
      </c>
      <c r="C15" s="10">
        <v>1403.6220748000001</v>
      </c>
      <c r="D15" s="10">
        <v>6584.7715658500001</v>
      </c>
      <c r="E15" s="10">
        <v>40.56</v>
      </c>
      <c r="F15" s="6">
        <v>40.57</v>
      </c>
      <c r="G15" s="6">
        <v>734.17997000900004</v>
      </c>
      <c r="H15" s="6">
        <v>40.56</v>
      </c>
      <c r="I15" s="6">
        <v>40.57</v>
      </c>
      <c r="J15" s="10">
        <f t="shared" si="0"/>
        <v>-502.81764958999997</v>
      </c>
    </row>
    <row r="16" spans="1:10" x14ac:dyDescent="0.25">
      <c r="A16" s="9">
        <v>2037</v>
      </c>
      <c r="B16" s="10">
        <v>1910.4383661300001</v>
      </c>
      <c r="C16" s="10">
        <v>1421.51898646</v>
      </c>
      <c r="D16" s="10">
        <v>6081.9539162499996</v>
      </c>
      <c r="E16" s="10">
        <v>40.56</v>
      </c>
      <c r="F16" s="6">
        <v>43.2</v>
      </c>
      <c r="G16" s="6">
        <v>736.67796790199998</v>
      </c>
      <c r="H16" s="6">
        <v>40.56</v>
      </c>
      <c r="I16" s="6">
        <v>43.2</v>
      </c>
      <c r="J16" s="10">
        <f t="shared" si="0"/>
        <v>-488.91937967000013</v>
      </c>
    </row>
    <row r="17" spans="1:10" x14ac:dyDescent="0.25">
      <c r="A17" s="9">
        <v>2038</v>
      </c>
      <c r="B17" s="10">
        <v>1915.8670891500001</v>
      </c>
      <c r="C17" s="10">
        <v>1441.4605944</v>
      </c>
      <c r="D17" s="10">
        <v>5593.0345365900002</v>
      </c>
      <c r="E17" s="10">
        <v>40.56</v>
      </c>
      <c r="F17" s="6">
        <v>46.11</v>
      </c>
      <c r="G17" s="6">
        <v>858.49933878599995</v>
      </c>
      <c r="H17" s="6">
        <v>40.56</v>
      </c>
      <c r="I17" s="6">
        <v>46.11</v>
      </c>
      <c r="J17" s="10">
        <f t="shared" si="0"/>
        <v>-474.40649475000009</v>
      </c>
    </row>
    <row r="18" spans="1:10" x14ac:dyDescent="0.25">
      <c r="A18" s="9">
        <v>2039</v>
      </c>
      <c r="B18" s="10">
        <v>1922.7399677799999</v>
      </c>
      <c r="C18" s="10">
        <v>1460.0524620000001</v>
      </c>
      <c r="D18" s="10">
        <v>5118.6280418400002</v>
      </c>
      <c r="E18" s="10">
        <v>40.56</v>
      </c>
      <c r="F18" s="6">
        <v>48.87</v>
      </c>
      <c r="G18" s="6">
        <v>963.55273909000005</v>
      </c>
      <c r="H18" s="6">
        <v>40.56</v>
      </c>
      <c r="I18" s="6">
        <v>48.87</v>
      </c>
      <c r="J18" s="10">
        <f t="shared" si="0"/>
        <v>-462.68750577999981</v>
      </c>
    </row>
    <row r="19" spans="1:10" x14ac:dyDescent="0.25">
      <c r="A19" s="9">
        <v>2040</v>
      </c>
      <c r="B19" s="10">
        <v>1931.0736754300001</v>
      </c>
      <c r="C19" s="10">
        <v>1482.92734204</v>
      </c>
      <c r="D19" s="10">
        <v>4655.9405360600003</v>
      </c>
      <c r="E19" s="10">
        <v>40.56</v>
      </c>
      <c r="F19" s="6">
        <v>51.59</v>
      </c>
      <c r="G19" s="6">
        <v>944.98116199200001</v>
      </c>
      <c r="H19" s="6">
        <v>40.56</v>
      </c>
      <c r="I19" s="6">
        <v>51.59</v>
      </c>
      <c r="J19" s="10">
        <f t="shared" si="0"/>
        <v>-448.14633339000011</v>
      </c>
    </row>
    <row r="20" spans="1:10" x14ac:dyDescent="0.25">
      <c r="A20" s="9">
        <v>2041</v>
      </c>
      <c r="B20" s="10">
        <v>1957.7423255599999</v>
      </c>
      <c r="C20" s="10">
        <v>1508.6497690199999</v>
      </c>
      <c r="D20" s="10">
        <v>4207.7942026800001</v>
      </c>
      <c r="E20" s="10">
        <v>40.56</v>
      </c>
      <c r="F20" s="6">
        <v>54.75</v>
      </c>
      <c r="G20" s="6">
        <v>925.58830502399996</v>
      </c>
      <c r="H20" s="6">
        <v>40.56</v>
      </c>
      <c r="I20" s="6">
        <v>54.75</v>
      </c>
      <c r="J20" s="10">
        <f t="shared" si="0"/>
        <v>-449.09255654000003</v>
      </c>
    </row>
    <row r="21" spans="1:10" x14ac:dyDescent="0.25">
      <c r="A21" s="9">
        <v>2042</v>
      </c>
      <c r="B21" s="10">
        <v>1482.4178884999999</v>
      </c>
      <c r="C21" s="10">
        <v>1536.6954386899999</v>
      </c>
      <c r="D21" s="10">
        <v>3758.70164613</v>
      </c>
      <c r="E21" s="10">
        <v>40.56</v>
      </c>
      <c r="F21" s="6">
        <v>58.27</v>
      </c>
      <c r="G21" s="6">
        <v>909.92879427900004</v>
      </c>
      <c r="H21" s="6">
        <v>40.56</v>
      </c>
      <c r="I21" s="6">
        <v>58.27</v>
      </c>
      <c r="J21" s="10">
        <f t="shared" si="0"/>
        <v>54.277550190000056</v>
      </c>
    </row>
    <row r="22" spans="1:10" x14ac:dyDescent="0.25">
      <c r="A22" s="9">
        <v>2043</v>
      </c>
      <c r="B22" s="10">
        <v>1511.24051644</v>
      </c>
      <c r="C22" s="10">
        <v>1570.7551911999999</v>
      </c>
      <c r="D22" s="10">
        <v>3812.97919632</v>
      </c>
      <c r="E22" s="10">
        <v>40.56</v>
      </c>
      <c r="F22" s="6">
        <v>62.41</v>
      </c>
      <c r="G22" s="6">
        <v>890.498138133</v>
      </c>
      <c r="H22" s="6">
        <v>40.56</v>
      </c>
      <c r="I22" s="6">
        <v>62.41</v>
      </c>
      <c r="J22" s="10">
        <f t="shared" si="0"/>
        <v>59.514674759999934</v>
      </c>
    </row>
    <row r="23" spans="1:10" x14ac:dyDescent="0.25">
      <c r="A23" s="9">
        <v>2044</v>
      </c>
      <c r="B23" s="10">
        <v>1541.2045204399999</v>
      </c>
      <c r="C23" s="10">
        <v>1600.36818909</v>
      </c>
      <c r="D23" s="10">
        <v>3872.4938710800002</v>
      </c>
      <c r="E23" s="10">
        <v>40.56</v>
      </c>
      <c r="F23" s="6">
        <v>66.33</v>
      </c>
      <c r="G23" s="6">
        <v>891.76252978100001</v>
      </c>
      <c r="H23" s="6">
        <v>40.56</v>
      </c>
      <c r="I23" s="6">
        <v>66.33</v>
      </c>
      <c r="J23" s="10">
        <f t="shared" si="0"/>
        <v>59.163668650000091</v>
      </c>
    </row>
    <row r="24" spans="1:10" x14ac:dyDescent="0.25">
      <c r="A24" s="9">
        <v>2045</v>
      </c>
      <c r="B24" s="10">
        <v>1572.35509901</v>
      </c>
      <c r="C24" s="10">
        <v>1649.23433688</v>
      </c>
      <c r="D24" s="10">
        <v>3931.6575397199999</v>
      </c>
      <c r="E24" s="10">
        <v>40.56</v>
      </c>
      <c r="F24" s="6">
        <v>71.17</v>
      </c>
      <c r="G24" s="6">
        <v>219.13372128200001</v>
      </c>
      <c r="H24" s="6">
        <v>40.56</v>
      </c>
      <c r="I24" s="6">
        <v>71.17</v>
      </c>
      <c r="J24" s="10">
        <f t="shared" si="0"/>
        <v>76.879237869999997</v>
      </c>
    </row>
    <row r="25" spans="1:10" x14ac:dyDescent="0.25">
      <c r="A25" s="9">
        <v>2046</v>
      </c>
      <c r="B25" s="10">
        <v>1604.73924048</v>
      </c>
      <c r="C25" s="10">
        <v>1629.17415241</v>
      </c>
      <c r="D25" s="10">
        <v>4008.5367775999998</v>
      </c>
      <c r="E25" s="10">
        <v>40.56</v>
      </c>
      <c r="F25" s="6">
        <v>76.010000000000005</v>
      </c>
      <c r="G25" s="6">
        <v>212.13560833400001</v>
      </c>
      <c r="H25" s="6">
        <v>40.56</v>
      </c>
      <c r="I25" s="6">
        <v>76.010000000000005</v>
      </c>
      <c r="J25" s="10">
        <f t="shared" si="0"/>
        <v>24.434911929999998</v>
      </c>
    </row>
    <row r="26" spans="1:10" x14ac:dyDescent="0.25">
      <c r="A26" s="9">
        <v>2047</v>
      </c>
      <c r="B26" s="10">
        <v>1638.40579396</v>
      </c>
      <c r="C26" s="10">
        <v>1621.96621052</v>
      </c>
      <c r="D26" s="10">
        <v>4032.9716895400002</v>
      </c>
      <c r="E26" s="10">
        <v>40.56</v>
      </c>
      <c r="F26" s="6">
        <v>80.39</v>
      </c>
      <c r="G26" s="6">
        <v>212.60464060800001</v>
      </c>
      <c r="H26" s="6">
        <v>40.56</v>
      </c>
      <c r="I26" s="6">
        <v>80.39</v>
      </c>
      <c r="J26" s="10">
        <f t="shared" si="0"/>
        <v>-16.439583439999979</v>
      </c>
    </row>
    <row r="27" spans="1:10" x14ac:dyDescent="0.25">
      <c r="A27" s="9">
        <v>2048</v>
      </c>
      <c r="B27" s="10">
        <v>1722.33377172</v>
      </c>
      <c r="C27" s="10">
        <v>1676.7299043400001</v>
      </c>
      <c r="D27" s="10">
        <v>4016.5321061</v>
      </c>
      <c r="E27" s="10">
        <v>43.19</v>
      </c>
      <c r="F27" s="6">
        <v>86.18</v>
      </c>
      <c r="G27" s="6">
        <v>188.932193506</v>
      </c>
      <c r="H27" s="6">
        <v>43.19</v>
      </c>
      <c r="I27" s="6">
        <v>86.18</v>
      </c>
      <c r="J27" s="10">
        <f t="shared" si="0"/>
        <v>-45.603867379999883</v>
      </c>
    </row>
    <row r="28" spans="1:10" x14ac:dyDescent="0.25">
      <c r="A28" s="9">
        <v>2049</v>
      </c>
      <c r="B28" s="10">
        <v>1813.0428674299999</v>
      </c>
      <c r="C28" s="10">
        <v>1735.92341459</v>
      </c>
      <c r="D28" s="10">
        <v>3970.9282387100002</v>
      </c>
      <c r="E28" s="10">
        <v>46.11</v>
      </c>
      <c r="F28" s="6">
        <v>92.67</v>
      </c>
      <c r="G28" s="6">
        <v>259.01097649500002</v>
      </c>
      <c r="H28" s="6">
        <v>46.11</v>
      </c>
      <c r="I28" s="6">
        <v>92.67</v>
      </c>
      <c r="J28" s="10">
        <f t="shared" si="0"/>
        <v>-77.119452839999894</v>
      </c>
    </row>
    <row r="29" spans="1:10" x14ac:dyDescent="0.25">
      <c r="A29" s="9">
        <v>2050</v>
      </c>
      <c r="B29" s="10">
        <v>1902.0301772400001</v>
      </c>
      <c r="C29" s="10">
        <v>1799.4012521300001</v>
      </c>
      <c r="D29" s="10">
        <v>3893.8087858600002</v>
      </c>
      <c r="E29" s="10">
        <v>48.86</v>
      </c>
      <c r="F29" s="6">
        <v>98.87</v>
      </c>
      <c r="G29" s="6">
        <v>313.62956180899999</v>
      </c>
      <c r="H29" s="6">
        <v>48.86</v>
      </c>
      <c r="I29" s="6">
        <v>98.87</v>
      </c>
      <c r="J29" s="10">
        <f t="shared" si="0"/>
        <v>-102.62892510999995</v>
      </c>
    </row>
    <row r="30" spans="1:10" x14ac:dyDescent="0.25">
      <c r="I30" s="13"/>
      <c r="J30" s="13"/>
    </row>
    <row r="31" spans="1:10" x14ac:dyDescent="0.25">
      <c r="I31" s="13"/>
      <c r="J31" s="13"/>
    </row>
    <row r="32" spans="1:10" x14ac:dyDescent="0.25">
      <c r="I32" s="13"/>
      <c r="J32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FBFA-8262-4222-860F-202A248B1DF3}">
  <dimension ref="A1:J29"/>
  <sheetViews>
    <sheetView workbookViewId="0">
      <selection activeCell="E8" sqref="E8"/>
    </sheetView>
  </sheetViews>
  <sheetFormatPr defaultRowHeight="15" x14ac:dyDescent="0.25"/>
  <cols>
    <col min="1" max="1" width="5" bestFit="1" customWidth="1"/>
    <col min="2" max="2" width="26.140625" bestFit="1" customWidth="1"/>
    <col min="3" max="3" width="21.85546875" bestFit="1" customWidth="1"/>
    <col min="4" max="4" width="28" bestFit="1" customWidth="1"/>
    <col min="5" max="5" width="28.28515625" bestFit="1" customWidth="1"/>
    <col min="6" max="6" width="13.85546875" bestFit="1" customWidth="1"/>
    <col min="7" max="7" width="9.5703125" bestFit="1" customWidth="1"/>
    <col min="8" max="8" width="26.42578125" bestFit="1" customWidth="1"/>
    <col min="9" max="9" width="47.140625" bestFit="1" customWidth="1"/>
    <col min="10" max="10" width="23.28515625" bestFit="1" customWidth="1"/>
  </cols>
  <sheetData>
    <row r="1" spans="1:10" x14ac:dyDescent="0.25">
      <c r="A1" s="7"/>
      <c r="B1" s="14" t="s">
        <v>13</v>
      </c>
      <c r="C1" s="14" t="s">
        <v>14</v>
      </c>
      <c r="D1" s="14" t="s">
        <v>15</v>
      </c>
      <c r="E1" s="14" t="s">
        <v>16</v>
      </c>
      <c r="F1" s="14" t="s">
        <v>22</v>
      </c>
      <c r="G1" s="14" t="s">
        <v>18</v>
      </c>
      <c r="H1" s="14" t="s">
        <v>19</v>
      </c>
      <c r="I1" s="8" t="s">
        <v>23</v>
      </c>
      <c r="J1" s="14" t="s">
        <v>21</v>
      </c>
    </row>
    <row r="2" spans="1:10" x14ac:dyDescent="0.25">
      <c r="A2" s="9">
        <v>2023</v>
      </c>
      <c r="B2" s="10">
        <v>870.77278035699999</v>
      </c>
      <c r="C2" s="10">
        <v>1059.23911641</v>
      </c>
      <c r="D2" s="10">
        <v>7431.73</v>
      </c>
      <c r="E2" s="10">
        <v>16.86</v>
      </c>
      <c r="F2" s="10">
        <v>16.857749999999999</v>
      </c>
      <c r="G2" s="10">
        <v>70</v>
      </c>
      <c r="H2" s="10">
        <v>16.86</v>
      </c>
      <c r="I2" s="10">
        <v>16.857749999999999</v>
      </c>
      <c r="J2" s="15">
        <f>C2-B2</f>
        <v>188.46633605299996</v>
      </c>
    </row>
    <row r="3" spans="1:10" x14ac:dyDescent="0.25">
      <c r="A3" s="9">
        <v>2024</v>
      </c>
      <c r="B3" s="10">
        <v>1078.34538802</v>
      </c>
      <c r="C3" s="10">
        <v>1090.9091716</v>
      </c>
      <c r="D3" s="10">
        <v>7620.1963360600002</v>
      </c>
      <c r="E3" s="10">
        <v>23.11</v>
      </c>
      <c r="F3" s="10">
        <v>23.111275760000002</v>
      </c>
      <c r="G3" s="10">
        <v>70</v>
      </c>
      <c r="H3" s="10">
        <v>23.11</v>
      </c>
      <c r="I3" s="10">
        <v>23.111275760000002</v>
      </c>
      <c r="J3" s="15">
        <f t="shared" ref="J3:J29" si="0">C3-B3</f>
        <v>12.563783580000063</v>
      </c>
    </row>
    <row r="4" spans="1:10" x14ac:dyDescent="0.25">
      <c r="A4" s="9">
        <v>2025</v>
      </c>
      <c r="B4" s="10">
        <v>1276.85164171</v>
      </c>
      <c r="C4" s="10">
        <v>1120.64592096</v>
      </c>
      <c r="D4" s="10">
        <v>7632.7601196400001</v>
      </c>
      <c r="E4" s="10">
        <v>29.05</v>
      </c>
      <c r="F4" s="10">
        <v>29.046875</v>
      </c>
      <c r="G4" s="10">
        <v>70</v>
      </c>
      <c r="H4" s="10">
        <v>29.05</v>
      </c>
      <c r="I4" s="10">
        <v>29.046875</v>
      </c>
      <c r="J4" s="15">
        <f t="shared" si="0"/>
        <v>-156.20572074999995</v>
      </c>
    </row>
    <row r="5" spans="1:10" x14ac:dyDescent="0.25">
      <c r="A5" s="9">
        <v>2026</v>
      </c>
      <c r="B5" s="10">
        <v>1524.2956607599999</v>
      </c>
      <c r="C5" s="10">
        <v>1153.31100552</v>
      </c>
      <c r="D5" s="10">
        <v>7476.55439888</v>
      </c>
      <c r="E5" s="10">
        <v>36.549999999999997</v>
      </c>
      <c r="F5" s="10">
        <v>36.542958380000002</v>
      </c>
      <c r="G5" s="10">
        <v>50</v>
      </c>
      <c r="H5" s="10">
        <v>36.549999999999997</v>
      </c>
      <c r="I5" s="10">
        <v>36.542958380000002</v>
      </c>
      <c r="J5" s="15">
        <f t="shared" si="0"/>
        <v>-370.98465523999994</v>
      </c>
    </row>
    <row r="6" spans="1:10" x14ac:dyDescent="0.25">
      <c r="A6" s="9">
        <v>2027</v>
      </c>
      <c r="B6" s="10">
        <v>1786.59255332</v>
      </c>
      <c r="C6" s="10">
        <v>1182.6402069200001</v>
      </c>
      <c r="D6" s="10">
        <v>7105.5697436399996</v>
      </c>
      <c r="E6" s="10">
        <v>44.51</v>
      </c>
      <c r="F6" s="10">
        <v>44.504844589999998</v>
      </c>
      <c r="G6" s="10">
        <v>274.87378362800001</v>
      </c>
      <c r="H6" s="10">
        <v>44.51</v>
      </c>
      <c r="I6" s="10">
        <v>44.504844589999998</v>
      </c>
      <c r="J6" s="15">
        <f t="shared" si="0"/>
        <v>-603.9523463999999</v>
      </c>
    </row>
    <row r="7" spans="1:10" x14ac:dyDescent="0.25">
      <c r="A7" s="9">
        <v>2028</v>
      </c>
      <c r="B7" s="10">
        <v>2068.4166786999999</v>
      </c>
      <c r="C7" s="10">
        <v>1211.06572807</v>
      </c>
      <c r="D7" s="10">
        <v>6501.6173972300003</v>
      </c>
      <c r="E7" s="10">
        <v>53.08</v>
      </c>
      <c r="F7" s="10">
        <v>53.072377359999997</v>
      </c>
      <c r="G7" s="10">
        <v>500.392202559</v>
      </c>
      <c r="H7" s="10">
        <v>53.08</v>
      </c>
      <c r="I7" s="10">
        <v>53.072377359999997</v>
      </c>
      <c r="J7" s="15">
        <f t="shared" si="0"/>
        <v>-857.35095062999994</v>
      </c>
    </row>
    <row r="8" spans="1:10" x14ac:dyDescent="0.25">
      <c r="A8" s="9">
        <v>2029</v>
      </c>
      <c r="B8" s="10">
        <v>2397.07820425</v>
      </c>
      <c r="C8" s="10">
        <v>1242.5869090900001</v>
      </c>
      <c r="D8" s="10">
        <v>5644.2664465999997</v>
      </c>
      <c r="E8" s="10">
        <v>63.14</v>
      </c>
      <c r="F8" s="10">
        <v>63.13175708</v>
      </c>
      <c r="G8" s="10">
        <v>787.390768557</v>
      </c>
      <c r="H8" s="10">
        <v>63.14</v>
      </c>
      <c r="I8" s="10">
        <v>63.13175708</v>
      </c>
      <c r="J8" s="15">
        <f t="shared" si="0"/>
        <v>-1154.4912951599999</v>
      </c>
    </row>
    <row r="9" spans="1:10" x14ac:dyDescent="0.25">
      <c r="A9" s="9">
        <v>2030</v>
      </c>
      <c r="B9" s="10">
        <v>2788.7258507400002</v>
      </c>
      <c r="C9" s="10">
        <v>1445.0362878000001</v>
      </c>
      <c r="D9" s="10">
        <v>4489.7751514499996</v>
      </c>
      <c r="E9" s="10">
        <v>75.209999999999994</v>
      </c>
      <c r="F9" s="10">
        <v>75.204999999999998</v>
      </c>
      <c r="G9" s="10">
        <v>1098.69407884</v>
      </c>
      <c r="H9" s="10">
        <v>75.209999999999994</v>
      </c>
      <c r="I9" s="10">
        <v>75.204999999999998</v>
      </c>
      <c r="J9" s="15">
        <f t="shared" si="0"/>
        <v>-1343.6895629400001</v>
      </c>
    </row>
    <row r="10" spans="1:10" x14ac:dyDescent="0.25">
      <c r="A10" s="9">
        <v>2031</v>
      </c>
      <c r="B10" s="10">
        <v>1874.00643711</v>
      </c>
      <c r="C10" s="10">
        <v>1379.7429819900001</v>
      </c>
      <c r="D10" s="10">
        <v>3146.0855885000001</v>
      </c>
      <c r="E10" s="10">
        <v>75.209999999999994</v>
      </c>
      <c r="F10" s="10">
        <v>89.525570720000005</v>
      </c>
      <c r="G10" s="10">
        <v>1437.29821713</v>
      </c>
      <c r="H10" s="10">
        <v>75.209999999999994</v>
      </c>
      <c r="I10" s="10">
        <v>89.525570720000005</v>
      </c>
      <c r="J10" s="15">
        <f t="shared" si="0"/>
        <v>-494.26345511999989</v>
      </c>
    </row>
    <row r="11" spans="1:10" x14ac:dyDescent="0.25">
      <c r="A11" s="9">
        <v>2032</v>
      </c>
      <c r="B11" s="10">
        <v>1892.80846084</v>
      </c>
      <c r="C11" s="10">
        <v>1428.2722653999999</v>
      </c>
      <c r="D11" s="10">
        <v>2651.8221333900001</v>
      </c>
      <c r="E11" s="10">
        <v>75.209999999999994</v>
      </c>
      <c r="F11" s="10">
        <v>104.405424</v>
      </c>
      <c r="G11" s="10">
        <v>1834.3522996500001</v>
      </c>
      <c r="H11" s="10">
        <v>75.209999999999994</v>
      </c>
      <c r="I11" s="10">
        <v>104.405424</v>
      </c>
      <c r="J11" s="15">
        <f t="shared" si="0"/>
        <v>-464.53619544000003</v>
      </c>
    </row>
    <row r="12" spans="1:10" x14ac:dyDescent="0.25">
      <c r="A12" s="9">
        <v>2033</v>
      </c>
      <c r="B12" s="10">
        <v>1912.3550447099999</v>
      </c>
      <c r="C12" s="10">
        <v>1464.8887545600001</v>
      </c>
      <c r="D12" s="10">
        <v>2187.2859379500001</v>
      </c>
      <c r="E12" s="10">
        <v>75.209999999999994</v>
      </c>
      <c r="F12" s="10">
        <v>120.1852086</v>
      </c>
      <c r="G12" s="10">
        <v>2087.16867417</v>
      </c>
      <c r="H12" s="10">
        <v>75.209999999999994</v>
      </c>
      <c r="I12" s="10">
        <v>120.1852086</v>
      </c>
      <c r="J12" s="15">
        <f t="shared" si="0"/>
        <v>-447.46629014999985</v>
      </c>
    </row>
    <row r="13" spans="1:10" x14ac:dyDescent="0.25">
      <c r="A13" s="9">
        <v>2034</v>
      </c>
      <c r="B13" s="10">
        <v>1932.6756733</v>
      </c>
      <c r="C13" s="10">
        <v>2108.0705689800002</v>
      </c>
      <c r="D13" s="10">
        <v>1739.8196478</v>
      </c>
      <c r="E13" s="10">
        <v>75.209999999999994</v>
      </c>
      <c r="F13" s="10">
        <v>138.40084440000001</v>
      </c>
      <c r="G13" s="10">
        <v>952.12218816500001</v>
      </c>
      <c r="H13" s="10">
        <v>75.209999999999994</v>
      </c>
      <c r="I13" s="10">
        <v>138.40084440000001</v>
      </c>
      <c r="J13" s="15">
        <f t="shared" si="0"/>
        <v>175.39489568000022</v>
      </c>
    </row>
    <row r="14" spans="1:10" x14ac:dyDescent="0.25">
      <c r="A14" s="9">
        <v>2035</v>
      </c>
      <c r="B14" s="10">
        <v>1953.80099879</v>
      </c>
      <c r="C14" s="10">
        <v>2346.7914121499998</v>
      </c>
      <c r="D14" s="10">
        <v>1915.21454348</v>
      </c>
      <c r="E14" s="10">
        <v>75.209999999999994</v>
      </c>
      <c r="F14" s="10">
        <v>159.9832317</v>
      </c>
      <c r="G14" s="10">
        <v>912.39910768899995</v>
      </c>
      <c r="H14" s="10">
        <v>75.209999999999994</v>
      </c>
      <c r="I14" s="10">
        <v>159.9832317</v>
      </c>
      <c r="J14" s="15">
        <f t="shared" si="0"/>
        <v>392.99041335999982</v>
      </c>
    </row>
    <row r="15" spans="1:10" x14ac:dyDescent="0.25">
      <c r="A15" s="9">
        <v>2036</v>
      </c>
      <c r="B15" s="10">
        <v>1975.76288716</v>
      </c>
      <c r="C15" s="10">
        <v>2382.2571732599999</v>
      </c>
      <c r="D15" s="10">
        <v>2308.2049568399998</v>
      </c>
      <c r="E15" s="10">
        <v>75.209999999999994</v>
      </c>
      <c r="F15" s="10">
        <v>181.0039223</v>
      </c>
      <c r="G15" s="10">
        <v>889.589429677</v>
      </c>
      <c r="H15" s="10">
        <v>75.209999999999994</v>
      </c>
      <c r="I15" s="10">
        <v>181.0039223</v>
      </c>
      <c r="J15" s="15">
        <f t="shared" si="0"/>
        <v>406.49428609999995</v>
      </c>
    </row>
    <row r="16" spans="1:10" x14ac:dyDescent="0.25">
      <c r="A16" s="9">
        <v>2037</v>
      </c>
      <c r="B16" s="10">
        <v>1998.59446632</v>
      </c>
      <c r="C16" s="10">
        <v>2420.3747762200001</v>
      </c>
      <c r="D16" s="10">
        <v>2714.6992429299999</v>
      </c>
      <c r="E16" s="10">
        <v>75.209999999999994</v>
      </c>
      <c r="F16" s="10">
        <v>202.6907267</v>
      </c>
      <c r="G16" s="10">
        <v>57.290547253100002</v>
      </c>
      <c r="H16" s="10">
        <v>75.209999999999994</v>
      </c>
      <c r="I16" s="10">
        <v>202.6907267</v>
      </c>
      <c r="J16" s="15">
        <f t="shared" si="0"/>
        <v>421.78030990000002</v>
      </c>
    </row>
    <row r="17" spans="1:10" x14ac:dyDescent="0.25">
      <c r="A17" s="9">
        <v>2038</v>
      </c>
      <c r="B17" s="10">
        <v>2022.3301759999999</v>
      </c>
      <c r="C17" s="10">
        <v>2461.2366579999998</v>
      </c>
      <c r="D17" s="10">
        <v>3136.4795528300001</v>
      </c>
      <c r="E17" s="10">
        <v>75.209999999999994</v>
      </c>
      <c r="F17" s="10">
        <v>227.01427369999999</v>
      </c>
      <c r="G17" s="10">
        <v>50</v>
      </c>
      <c r="H17" s="10">
        <v>75.209999999999994</v>
      </c>
      <c r="I17" s="10">
        <v>227.01427369999999</v>
      </c>
      <c r="J17" s="15">
        <f t="shared" si="0"/>
        <v>438.90648199999987</v>
      </c>
    </row>
    <row r="18" spans="1:10" x14ac:dyDescent="0.25">
      <c r="A18" s="9">
        <v>2039</v>
      </c>
      <c r="B18" s="10">
        <v>2047.0058197999999</v>
      </c>
      <c r="C18" s="10">
        <v>2501.6460818700002</v>
      </c>
      <c r="D18" s="10">
        <v>3575.38603483</v>
      </c>
      <c r="E18" s="10">
        <v>75.209999999999994</v>
      </c>
      <c r="F18" s="10">
        <v>251.84449839999999</v>
      </c>
      <c r="G18" s="10">
        <v>50</v>
      </c>
      <c r="H18" s="10">
        <v>75.209999999999994</v>
      </c>
      <c r="I18" s="10">
        <v>251.84449839999999</v>
      </c>
      <c r="J18" s="15">
        <f t="shared" si="0"/>
        <v>454.64026207000029</v>
      </c>
    </row>
    <row r="19" spans="1:10" x14ac:dyDescent="0.25">
      <c r="A19" s="9">
        <v>2040</v>
      </c>
      <c r="B19" s="10">
        <v>2339.0680929199998</v>
      </c>
      <c r="C19" s="10">
        <v>2547.4604405300001</v>
      </c>
      <c r="D19" s="10">
        <v>4030.0262969</v>
      </c>
      <c r="E19" s="10">
        <v>89.53</v>
      </c>
      <c r="F19" s="10">
        <v>277.81913120000002</v>
      </c>
      <c r="G19" s="10">
        <v>50</v>
      </c>
      <c r="H19" s="10">
        <v>89.53</v>
      </c>
      <c r="I19" s="10">
        <v>277.81913120000002</v>
      </c>
      <c r="J19" s="15">
        <f t="shared" si="0"/>
        <v>208.39234761000034</v>
      </c>
    </row>
    <row r="20" spans="1:10" x14ac:dyDescent="0.25">
      <c r="A20" s="9">
        <v>2041</v>
      </c>
      <c r="B20" s="10">
        <v>2642.5644644700001</v>
      </c>
      <c r="C20" s="10">
        <v>2597.49243849</v>
      </c>
      <c r="D20" s="10">
        <v>4238.4186445200003</v>
      </c>
      <c r="E20" s="10">
        <v>104.41</v>
      </c>
      <c r="F20" s="10">
        <v>307.42627420000002</v>
      </c>
      <c r="G20" s="10">
        <v>50</v>
      </c>
      <c r="H20" s="10">
        <v>104.41</v>
      </c>
      <c r="I20" s="10">
        <v>307.42627420000002</v>
      </c>
      <c r="J20" s="15">
        <f t="shared" si="0"/>
        <v>-45.072025980000035</v>
      </c>
    </row>
    <row r="21" spans="1:10" x14ac:dyDescent="0.25">
      <c r="A21" s="9">
        <v>2042</v>
      </c>
      <c r="B21" s="10">
        <v>2963.8605267500002</v>
      </c>
      <c r="C21" s="10">
        <v>2651.4834376099998</v>
      </c>
      <c r="D21" s="10">
        <v>4193.3466185400002</v>
      </c>
      <c r="E21" s="10">
        <v>120.19</v>
      </c>
      <c r="F21" s="10">
        <v>340.65305649999999</v>
      </c>
      <c r="G21" s="10">
        <v>50</v>
      </c>
      <c r="H21" s="10">
        <v>120.19</v>
      </c>
      <c r="I21" s="10">
        <v>340.65305649999999</v>
      </c>
      <c r="J21" s="15">
        <f t="shared" si="0"/>
        <v>-312.37708914000041</v>
      </c>
    </row>
    <row r="22" spans="1:10" x14ac:dyDescent="0.25">
      <c r="A22" s="9">
        <v>2043</v>
      </c>
      <c r="B22" s="10">
        <v>3331.6482813100001</v>
      </c>
      <c r="C22" s="10">
        <v>2713.39849482</v>
      </c>
      <c r="D22" s="10">
        <v>3880.9695293999998</v>
      </c>
      <c r="E22" s="10">
        <v>138.41</v>
      </c>
      <c r="F22" s="10">
        <v>379.25473440000002</v>
      </c>
      <c r="G22" s="10">
        <v>50</v>
      </c>
      <c r="H22" s="10">
        <v>138.41</v>
      </c>
      <c r="I22" s="10">
        <v>379.25473440000002</v>
      </c>
      <c r="J22" s="15">
        <f t="shared" si="0"/>
        <v>-618.24978649000013</v>
      </c>
    </row>
    <row r="23" spans="1:10" x14ac:dyDescent="0.25">
      <c r="A23" s="9">
        <v>2044</v>
      </c>
      <c r="B23" s="10">
        <v>3763.0868974199998</v>
      </c>
      <c r="C23" s="10">
        <v>2773.0473888400002</v>
      </c>
      <c r="D23" s="10">
        <v>3262.71974292</v>
      </c>
      <c r="E23" s="10">
        <v>159.99</v>
      </c>
      <c r="F23" s="10">
        <v>418.40626600000002</v>
      </c>
      <c r="G23" s="10">
        <v>351.889691782</v>
      </c>
      <c r="H23" s="10">
        <v>106.773552556</v>
      </c>
      <c r="I23" s="10">
        <v>418.40626600000002</v>
      </c>
      <c r="J23" s="15">
        <f t="shared" si="0"/>
        <v>-990.03950857999962</v>
      </c>
    </row>
    <row r="24" spans="1:10" x14ac:dyDescent="0.25">
      <c r="A24" s="9">
        <v>2045</v>
      </c>
      <c r="B24" s="10">
        <v>4185.2938405000004</v>
      </c>
      <c r="C24" s="10">
        <v>2854.3815387200002</v>
      </c>
      <c r="D24" s="10">
        <v>2272.68023434</v>
      </c>
      <c r="E24" s="10">
        <v>181.01</v>
      </c>
      <c r="F24" s="10">
        <v>465.32097759999999</v>
      </c>
      <c r="G24" s="10">
        <v>709.07634973999996</v>
      </c>
      <c r="H24" s="10">
        <v>109.471011963</v>
      </c>
      <c r="I24" s="10">
        <v>465.32097759999999</v>
      </c>
      <c r="J24" s="15">
        <f t="shared" si="0"/>
        <v>-1330.9123017800002</v>
      </c>
    </row>
    <row r="25" spans="1:10" x14ac:dyDescent="0.25">
      <c r="A25" s="9">
        <v>2046</v>
      </c>
      <c r="B25" s="10">
        <v>4217.6779819800004</v>
      </c>
      <c r="C25" s="10">
        <v>2869.4344648900001</v>
      </c>
      <c r="D25" s="10">
        <v>941.76793255099994</v>
      </c>
      <c r="E25" s="10">
        <v>181.01</v>
      </c>
      <c r="F25" s="10">
        <v>514.50528529999997</v>
      </c>
      <c r="G25" s="10">
        <v>1117.7990474400001</v>
      </c>
      <c r="H25" s="10">
        <v>108.53942721200001</v>
      </c>
      <c r="I25" s="10">
        <v>514.50528529999997</v>
      </c>
      <c r="J25" s="15">
        <f t="shared" si="0"/>
        <v>-1348.2435170900003</v>
      </c>
    </row>
    <row r="26" spans="1:10" x14ac:dyDescent="0.25">
      <c r="A26" s="9">
        <v>2047</v>
      </c>
      <c r="B26" s="10">
        <v>4251.3445354599999</v>
      </c>
      <c r="C26" s="10">
        <v>2900.1349969900002</v>
      </c>
      <c r="D26" s="10">
        <v>0</v>
      </c>
      <c r="E26" s="10">
        <v>181.01</v>
      </c>
      <c r="F26" s="10">
        <v>562.75156360000005</v>
      </c>
      <c r="G26" s="10">
        <v>1614.6034353800001</v>
      </c>
      <c r="H26" s="10">
        <v>108.37999809900001</v>
      </c>
      <c r="I26" s="10">
        <v>562.75156360000005</v>
      </c>
      <c r="J26" s="15">
        <f t="shared" si="0"/>
        <v>-1351.2095384699996</v>
      </c>
    </row>
    <row r="27" spans="1:10" x14ac:dyDescent="0.25">
      <c r="A27" s="9">
        <v>2048</v>
      </c>
      <c r="B27" s="10">
        <v>4286.3442844499996</v>
      </c>
      <c r="C27" s="10">
        <v>2995.66106425</v>
      </c>
      <c r="D27" s="10">
        <v>0</v>
      </c>
      <c r="E27" s="10">
        <v>181.01</v>
      </c>
      <c r="F27" s="10">
        <v>623.16023440000004</v>
      </c>
      <c r="G27" s="10">
        <v>2070.0950461799998</v>
      </c>
      <c r="H27" s="10">
        <v>111.633399208</v>
      </c>
      <c r="I27" s="10">
        <v>623.16023440000004</v>
      </c>
      <c r="J27" s="15">
        <f t="shared" si="0"/>
        <v>-1290.6832201999996</v>
      </c>
    </row>
    <row r="28" spans="1:10" x14ac:dyDescent="0.25">
      <c r="A28" s="9">
        <v>2049</v>
      </c>
      <c r="B28" s="10">
        <v>4322.7300235100001</v>
      </c>
      <c r="C28" s="10">
        <v>3098.4066241099999</v>
      </c>
      <c r="D28" s="10">
        <v>0</v>
      </c>
      <c r="E28" s="10">
        <v>181.01</v>
      </c>
      <c r="F28" s="10">
        <v>691.44693689999997</v>
      </c>
      <c r="G28" s="10">
        <v>2093.2538999600001</v>
      </c>
      <c r="H28" s="10">
        <v>115.200361825</v>
      </c>
      <c r="I28" s="10">
        <v>691.44693689999997</v>
      </c>
      <c r="J28" s="15">
        <f t="shared" si="0"/>
        <v>-1224.3233994000002</v>
      </c>
    </row>
    <row r="29" spans="1:10" x14ac:dyDescent="0.25">
      <c r="A29" s="9">
        <v>2050</v>
      </c>
      <c r="B29" s="10">
        <v>4360.55663783</v>
      </c>
      <c r="C29" s="10">
        <v>3208.0082561700001</v>
      </c>
      <c r="D29" s="10">
        <v>0</v>
      </c>
      <c r="E29" s="10">
        <v>181.01</v>
      </c>
      <c r="F29" s="10">
        <v>760.5</v>
      </c>
      <c r="G29" s="10">
        <v>2097.2172489899999</v>
      </c>
      <c r="H29" s="10">
        <v>119.058401253</v>
      </c>
      <c r="I29" s="10">
        <v>760.5</v>
      </c>
      <c r="J29" s="15">
        <f t="shared" si="0"/>
        <v>-1152.5483816599999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DFA3-814C-41F9-AA2C-362BFE6F7795}">
  <dimension ref="A1:J29"/>
  <sheetViews>
    <sheetView workbookViewId="0">
      <selection activeCell="D10" sqref="D10"/>
    </sheetView>
  </sheetViews>
  <sheetFormatPr defaultColWidth="8.85546875" defaultRowHeight="15" x14ac:dyDescent="0.25"/>
  <cols>
    <col min="1" max="1" width="7.42578125" style="19" bestFit="1" customWidth="1"/>
    <col min="2" max="2" width="32.85546875" style="12" bestFit="1" customWidth="1"/>
    <col min="3" max="3" width="28.42578125" style="12" bestFit="1" customWidth="1"/>
    <col min="4" max="4" width="35.28515625" style="12" bestFit="1" customWidth="1"/>
    <col min="5" max="5" width="37.85546875" style="12" bestFit="1" customWidth="1"/>
    <col min="6" max="6" width="18.7109375" style="12" bestFit="1" customWidth="1"/>
    <col min="7" max="7" width="35" style="12" bestFit="1" customWidth="1"/>
    <col min="8" max="8" width="22.140625" bestFit="1" customWidth="1"/>
    <col min="9" max="9" width="62" bestFit="1" customWidth="1"/>
    <col min="10" max="10" width="62" customWidth="1"/>
  </cols>
  <sheetData>
    <row r="1" spans="1:10" x14ac:dyDescent="0.25">
      <c r="A1" s="16"/>
      <c r="B1" s="17" t="s">
        <v>13</v>
      </c>
      <c r="C1" s="17" t="s">
        <v>14</v>
      </c>
      <c r="D1" s="17" t="s">
        <v>15</v>
      </c>
      <c r="E1" s="17" t="s">
        <v>16</v>
      </c>
      <c r="F1" s="17" t="s">
        <v>24</v>
      </c>
      <c r="G1" s="17" t="s">
        <v>19</v>
      </c>
      <c r="H1" s="9" t="s">
        <v>18</v>
      </c>
      <c r="I1" s="8" t="s">
        <v>25</v>
      </c>
      <c r="J1" s="8" t="s">
        <v>21</v>
      </c>
    </row>
    <row r="2" spans="1:10" x14ac:dyDescent="0.25">
      <c r="A2" s="18">
        <v>2023</v>
      </c>
      <c r="B2" s="10">
        <v>865.51076100099999</v>
      </c>
      <c r="C2" s="10">
        <v>1059.23911641</v>
      </c>
      <c r="D2" s="10">
        <v>7431.73</v>
      </c>
      <c r="E2" s="10">
        <v>13.56</v>
      </c>
      <c r="F2" s="10">
        <v>13.56</v>
      </c>
      <c r="G2" s="10">
        <v>13.56</v>
      </c>
      <c r="H2" s="10">
        <v>70</v>
      </c>
      <c r="I2" s="10">
        <v>13.56</v>
      </c>
      <c r="J2" s="10">
        <f>C2-B2</f>
        <v>193.72835540899996</v>
      </c>
    </row>
    <row r="3" spans="1:10" x14ac:dyDescent="0.25">
      <c r="A3" s="18">
        <v>2024</v>
      </c>
      <c r="B3" s="10">
        <v>1001.2394829</v>
      </c>
      <c r="C3" s="10">
        <v>1088.1091715499999</v>
      </c>
      <c r="D3" s="10">
        <v>7625.45835541</v>
      </c>
      <c r="E3" s="10">
        <v>17.399999999999999</v>
      </c>
      <c r="F3" s="10">
        <v>17.399999999999999</v>
      </c>
      <c r="G3" s="10">
        <v>17.399999999999999</v>
      </c>
      <c r="H3" s="10">
        <v>70</v>
      </c>
      <c r="I3" s="10">
        <v>17.399999999999999</v>
      </c>
      <c r="J3" s="10">
        <f t="shared" ref="J3:J29" si="0">C3-B3</f>
        <v>86.869688649999944</v>
      </c>
    </row>
    <row r="4" spans="1:10" x14ac:dyDescent="0.25">
      <c r="A4" s="18">
        <v>2025</v>
      </c>
      <c r="B4" s="10">
        <v>1110.7271850899999</v>
      </c>
      <c r="C4" s="10">
        <v>1114.9759182600001</v>
      </c>
      <c r="D4" s="10">
        <v>7712.32804407</v>
      </c>
      <c r="E4" s="10">
        <v>20.73</v>
      </c>
      <c r="F4" s="10">
        <v>20.73</v>
      </c>
      <c r="G4" s="10">
        <v>20.73</v>
      </c>
      <c r="H4" s="10">
        <v>70</v>
      </c>
      <c r="I4" s="10">
        <v>20.73</v>
      </c>
      <c r="J4" s="10">
        <f t="shared" si="0"/>
        <v>4.2487331700001505</v>
      </c>
    </row>
    <row r="5" spans="1:10" x14ac:dyDescent="0.25">
      <c r="A5" s="18">
        <v>2026</v>
      </c>
      <c r="B5" s="10">
        <v>1244.66863306</v>
      </c>
      <c r="C5" s="10">
        <v>1144.6992090700001</v>
      </c>
      <c r="D5" s="10">
        <v>7716.5767772400004</v>
      </c>
      <c r="E5" s="10">
        <v>24.95</v>
      </c>
      <c r="F5" s="10">
        <v>24.95</v>
      </c>
      <c r="G5" s="10">
        <v>24.95</v>
      </c>
      <c r="H5" s="10">
        <v>50</v>
      </c>
      <c r="I5" s="10">
        <v>24.95</v>
      </c>
      <c r="J5" s="10">
        <f t="shared" si="0"/>
        <v>-99.969423989999996</v>
      </c>
    </row>
    <row r="6" spans="1:10" x14ac:dyDescent="0.25">
      <c r="A6" s="18">
        <v>2027</v>
      </c>
      <c r="B6" s="10">
        <v>1374.8989567000001</v>
      </c>
      <c r="C6" s="10">
        <v>1171.0127987000001</v>
      </c>
      <c r="D6" s="10">
        <v>7616.6073532399996</v>
      </c>
      <c r="E6" s="10">
        <v>29.28</v>
      </c>
      <c r="F6" s="10">
        <v>29.28</v>
      </c>
      <c r="G6" s="10">
        <v>29.28</v>
      </c>
      <c r="H6" s="10">
        <v>175.582443662</v>
      </c>
      <c r="I6" s="10">
        <v>29.28</v>
      </c>
      <c r="J6" s="10">
        <f t="shared" si="0"/>
        <v>-203.88615800000002</v>
      </c>
    </row>
    <row r="7" spans="1:10" x14ac:dyDescent="0.25">
      <c r="A7" s="18">
        <v>2028</v>
      </c>
      <c r="B7" s="10">
        <v>1505.3786318</v>
      </c>
      <c r="C7" s="10">
        <v>1196.3462305099999</v>
      </c>
      <c r="D7" s="10">
        <v>7412.7211952400003</v>
      </c>
      <c r="E7" s="10">
        <v>33.83</v>
      </c>
      <c r="F7" s="10">
        <v>33.83</v>
      </c>
      <c r="G7" s="10">
        <v>33.83</v>
      </c>
      <c r="H7" s="10">
        <v>285.984778054</v>
      </c>
      <c r="I7" s="10">
        <v>33.83</v>
      </c>
      <c r="J7" s="10">
        <f t="shared" si="0"/>
        <v>-309.03240129000005</v>
      </c>
    </row>
    <row r="8" spans="1:10" x14ac:dyDescent="0.25">
      <c r="A8" s="18">
        <v>2029</v>
      </c>
      <c r="B8" s="10">
        <v>1653.52968592</v>
      </c>
      <c r="C8" s="10">
        <v>1224.6948223899999</v>
      </c>
      <c r="D8" s="10">
        <v>7103.6887939500002</v>
      </c>
      <c r="E8" s="10">
        <v>39.159999999999997</v>
      </c>
      <c r="F8" s="10">
        <v>39.159999999999997</v>
      </c>
      <c r="G8" s="10">
        <v>39.159999999999997</v>
      </c>
      <c r="H8" s="10">
        <v>425.24639478699999</v>
      </c>
      <c r="I8" s="10">
        <v>39.159999999999997</v>
      </c>
      <c r="J8" s="10">
        <f t="shared" si="0"/>
        <v>-428.83486353000012</v>
      </c>
    </row>
    <row r="9" spans="1:10" x14ac:dyDescent="0.25">
      <c r="A9" s="18">
        <v>2030</v>
      </c>
      <c r="B9" s="10">
        <v>1869.0580141200001</v>
      </c>
      <c r="C9" s="10">
        <v>1423.8845647000001</v>
      </c>
      <c r="D9" s="10">
        <v>6674.8539304300002</v>
      </c>
      <c r="E9" s="10">
        <v>45.55</v>
      </c>
      <c r="F9" s="10">
        <v>45.56</v>
      </c>
      <c r="G9" s="10">
        <v>45.55</v>
      </c>
      <c r="H9" s="10">
        <v>564.10523451799997</v>
      </c>
      <c r="I9" s="10">
        <v>45.56</v>
      </c>
      <c r="J9" s="10">
        <f t="shared" si="0"/>
        <v>-445.17344942</v>
      </c>
    </row>
    <row r="10" spans="1:10" x14ac:dyDescent="0.25">
      <c r="A10" s="18">
        <v>2031</v>
      </c>
      <c r="B10" s="10">
        <v>1791.9539391000001</v>
      </c>
      <c r="C10" s="10">
        <v>1458.7980152</v>
      </c>
      <c r="D10" s="10">
        <v>6229.6804810100002</v>
      </c>
      <c r="E10" s="10">
        <v>53.1</v>
      </c>
      <c r="F10" s="10">
        <v>53.11</v>
      </c>
      <c r="G10" s="10">
        <v>53.1</v>
      </c>
      <c r="H10" s="10">
        <v>704.60700724900005</v>
      </c>
      <c r="I10" s="10">
        <v>53.11</v>
      </c>
      <c r="J10" s="10">
        <f t="shared" si="0"/>
        <v>-333.15592390000006</v>
      </c>
    </row>
    <row r="11" spans="1:10" x14ac:dyDescent="0.25">
      <c r="A11" s="18">
        <v>2032</v>
      </c>
      <c r="B11" s="10">
        <v>2001.5078407799999</v>
      </c>
      <c r="C11" s="10">
        <v>1506.4436633299999</v>
      </c>
      <c r="D11" s="10">
        <v>5896.5245570999996</v>
      </c>
      <c r="E11" s="10">
        <v>60.79</v>
      </c>
      <c r="F11" s="10">
        <v>60.79</v>
      </c>
      <c r="G11" s="10">
        <v>60.79</v>
      </c>
      <c r="H11" s="10">
        <v>864.69316721999996</v>
      </c>
      <c r="I11" s="10">
        <v>60.79</v>
      </c>
      <c r="J11" s="10">
        <f t="shared" si="0"/>
        <v>-495.06417744999999</v>
      </c>
    </row>
    <row r="12" spans="1:10" x14ac:dyDescent="0.25">
      <c r="A12" s="18">
        <v>2033</v>
      </c>
      <c r="B12" s="10">
        <v>2021.0544246500001</v>
      </c>
      <c r="C12" s="10">
        <v>1542.0992492800001</v>
      </c>
      <c r="D12" s="10">
        <v>5401.4603796600004</v>
      </c>
      <c r="E12" s="10">
        <v>60.79</v>
      </c>
      <c r="F12" s="10">
        <v>68.83</v>
      </c>
      <c r="G12" s="10">
        <v>60.79</v>
      </c>
      <c r="H12" s="10">
        <v>886.52561895999997</v>
      </c>
      <c r="I12" s="10">
        <v>68.83</v>
      </c>
      <c r="J12" s="10">
        <f t="shared" si="0"/>
        <v>-478.95517537000001</v>
      </c>
    </row>
    <row r="13" spans="1:10" x14ac:dyDescent="0.25">
      <c r="A13" s="18">
        <v>2034</v>
      </c>
      <c r="B13" s="10">
        <v>2041.3750532399999</v>
      </c>
      <c r="C13" s="10">
        <v>1920.27456153</v>
      </c>
      <c r="D13" s="10">
        <v>4922.5052042899997</v>
      </c>
      <c r="E13" s="10">
        <v>60.79</v>
      </c>
      <c r="F13" s="10">
        <v>78.09</v>
      </c>
      <c r="G13" s="10">
        <v>60.79</v>
      </c>
      <c r="H13" s="10">
        <v>736.84208847699995</v>
      </c>
      <c r="I13" s="10">
        <v>78.09</v>
      </c>
      <c r="J13" s="10">
        <f t="shared" si="0"/>
        <v>-121.10049170999991</v>
      </c>
    </row>
    <row r="14" spans="1:10" x14ac:dyDescent="0.25">
      <c r="A14" s="18">
        <v>2035</v>
      </c>
      <c r="B14" s="10">
        <v>2062.5003787199998</v>
      </c>
      <c r="C14" s="10">
        <v>2248.2790277700001</v>
      </c>
      <c r="D14" s="10">
        <v>4801.4047125799998</v>
      </c>
      <c r="E14" s="10">
        <v>60.79</v>
      </c>
      <c r="F14" s="10">
        <v>89.06</v>
      </c>
      <c r="G14" s="10">
        <v>60.79</v>
      </c>
      <c r="H14" s="10">
        <v>953.19215417299995</v>
      </c>
      <c r="I14" s="10">
        <v>89.06</v>
      </c>
      <c r="J14" s="10">
        <f t="shared" si="0"/>
        <v>185.77864905000024</v>
      </c>
    </row>
    <row r="15" spans="1:10" x14ac:dyDescent="0.25">
      <c r="A15" s="18">
        <v>2036</v>
      </c>
      <c r="B15" s="10">
        <v>2084.4622671000002</v>
      </c>
      <c r="C15" s="10">
        <v>2455.69083073</v>
      </c>
      <c r="D15" s="10">
        <v>4987.18336163</v>
      </c>
      <c r="E15" s="10">
        <v>60.79</v>
      </c>
      <c r="F15" s="10">
        <v>99.54</v>
      </c>
      <c r="G15" s="10">
        <v>60.79</v>
      </c>
      <c r="H15" s="10">
        <v>931.66648403500005</v>
      </c>
      <c r="I15" s="10">
        <v>99.54</v>
      </c>
      <c r="J15" s="10">
        <f t="shared" si="0"/>
        <v>371.22856362999983</v>
      </c>
    </row>
    <row r="16" spans="1:10" x14ac:dyDescent="0.25">
      <c r="A16" s="18">
        <v>2037</v>
      </c>
      <c r="B16" s="10">
        <v>2107.2938462500001</v>
      </c>
      <c r="C16" s="10">
        <v>2492.0417441999998</v>
      </c>
      <c r="D16" s="10">
        <v>5358.4119252600003</v>
      </c>
      <c r="E16" s="10">
        <v>60.79</v>
      </c>
      <c r="F16" s="10">
        <v>110.23</v>
      </c>
      <c r="G16" s="10">
        <v>60.79</v>
      </c>
      <c r="H16" s="10">
        <v>453.48280515300002</v>
      </c>
      <c r="I16" s="10">
        <v>110.23</v>
      </c>
      <c r="J16" s="10">
        <f t="shared" si="0"/>
        <v>384.7478979499997</v>
      </c>
    </row>
    <row r="17" spans="1:10" x14ac:dyDescent="0.25">
      <c r="A17" s="18">
        <v>2038</v>
      </c>
      <c r="B17" s="10">
        <v>2131.0295559400001</v>
      </c>
      <c r="C17" s="10">
        <v>2530.7444497400002</v>
      </c>
      <c r="D17" s="10">
        <v>5743.1598231999997</v>
      </c>
      <c r="E17" s="10">
        <v>60.79</v>
      </c>
      <c r="F17" s="10">
        <v>122.2</v>
      </c>
      <c r="G17" s="10">
        <v>60.79</v>
      </c>
      <c r="H17" s="10">
        <v>50</v>
      </c>
      <c r="I17" s="10">
        <v>122.2</v>
      </c>
      <c r="J17" s="10">
        <f t="shared" si="0"/>
        <v>399.71489380000003</v>
      </c>
    </row>
    <row r="18" spans="1:10" x14ac:dyDescent="0.25">
      <c r="A18" s="18">
        <v>2039</v>
      </c>
      <c r="B18" s="10">
        <v>2155.70519973</v>
      </c>
      <c r="C18" s="10">
        <v>2568.4993923699999</v>
      </c>
      <c r="D18" s="10">
        <v>6142.8747169999997</v>
      </c>
      <c r="E18" s="10">
        <v>60.79</v>
      </c>
      <c r="F18" s="10">
        <v>134.30000000000001</v>
      </c>
      <c r="G18" s="10">
        <v>60.79</v>
      </c>
      <c r="H18" s="10">
        <v>50</v>
      </c>
      <c r="I18" s="10">
        <v>134.30000000000001</v>
      </c>
      <c r="J18" s="10">
        <f t="shared" si="0"/>
        <v>412.79419263999989</v>
      </c>
    </row>
    <row r="19" spans="1:10" x14ac:dyDescent="0.25">
      <c r="A19" s="18">
        <v>2040</v>
      </c>
      <c r="B19" s="10">
        <v>2380.7916919499999</v>
      </c>
      <c r="C19" s="10">
        <v>2611.0501107199998</v>
      </c>
      <c r="D19" s="10">
        <v>6555.6689096399996</v>
      </c>
      <c r="E19" s="10">
        <v>68.83</v>
      </c>
      <c r="F19" s="10">
        <v>146.87</v>
      </c>
      <c r="G19" s="10">
        <v>68.83</v>
      </c>
      <c r="H19" s="10">
        <v>50</v>
      </c>
      <c r="I19" s="10">
        <v>146.87</v>
      </c>
      <c r="J19" s="10">
        <f t="shared" si="0"/>
        <v>230.25841876999993</v>
      </c>
    </row>
    <row r="20" spans="1:10" x14ac:dyDescent="0.25">
      <c r="A20" s="18">
        <v>2041</v>
      </c>
      <c r="B20" s="10">
        <v>2152.89712396</v>
      </c>
      <c r="C20" s="10">
        <v>2657.0871815999999</v>
      </c>
      <c r="D20" s="10">
        <v>6785.92732841</v>
      </c>
      <c r="E20" s="10">
        <v>78.09</v>
      </c>
      <c r="F20" s="10">
        <v>161.22999999999999</v>
      </c>
      <c r="G20" s="10">
        <v>78.09</v>
      </c>
      <c r="H20" s="10">
        <v>50</v>
      </c>
      <c r="I20" s="10">
        <v>161.22999999999999</v>
      </c>
      <c r="J20" s="10">
        <f t="shared" si="0"/>
        <v>504.19005763999985</v>
      </c>
    </row>
    <row r="21" spans="1:10" x14ac:dyDescent="0.25">
      <c r="A21" s="18">
        <v>2042</v>
      </c>
      <c r="B21" s="10">
        <v>2384.7065178900002</v>
      </c>
      <c r="C21" s="10">
        <v>2706.22577082</v>
      </c>
      <c r="D21" s="10">
        <v>7290.1173860500003</v>
      </c>
      <c r="E21" s="10">
        <v>89.06</v>
      </c>
      <c r="F21" s="10">
        <v>177.33</v>
      </c>
      <c r="G21" s="10">
        <v>89.06</v>
      </c>
      <c r="H21" s="10">
        <v>50</v>
      </c>
      <c r="I21" s="10">
        <v>177.33</v>
      </c>
      <c r="J21" s="10">
        <f t="shared" si="0"/>
        <v>321.51925292999977</v>
      </c>
    </row>
    <row r="22" spans="1:10" x14ac:dyDescent="0.25">
      <c r="A22" s="18">
        <v>2043</v>
      </c>
      <c r="B22" s="10">
        <v>2608.4979053400002</v>
      </c>
      <c r="C22" s="10">
        <v>2762.3065397800001</v>
      </c>
      <c r="D22" s="10">
        <v>7611.6366389799996</v>
      </c>
      <c r="E22" s="10">
        <v>99.54</v>
      </c>
      <c r="F22" s="10">
        <v>196.06</v>
      </c>
      <c r="G22" s="10">
        <v>99.54</v>
      </c>
      <c r="H22" s="10">
        <v>50</v>
      </c>
      <c r="I22" s="10">
        <v>196.06</v>
      </c>
      <c r="J22" s="10">
        <f t="shared" si="0"/>
        <v>153.80863443999988</v>
      </c>
    </row>
    <row r="23" spans="1:10" x14ac:dyDescent="0.25">
      <c r="A23" s="18">
        <v>2044</v>
      </c>
      <c r="B23" s="10">
        <v>2837.3374856</v>
      </c>
      <c r="C23" s="10">
        <v>2815.0240991400001</v>
      </c>
      <c r="D23" s="10">
        <v>7765.4452734200004</v>
      </c>
      <c r="E23" s="10">
        <v>110.23</v>
      </c>
      <c r="F23" s="10">
        <v>214.9</v>
      </c>
      <c r="G23" s="10">
        <v>110.23</v>
      </c>
      <c r="H23" s="10">
        <v>50</v>
      </c>
      <c r="I23" s="10">
        <v>214.9</v>
      </c>
      <c r="J23" s="10">
        <f t="shared" si="0"/>
        <v>-22.313386459999947</v>
      </c>
    </row>
    <row r="24" spans="1:10" x14ac:dyDescent="0.25">
      <c r="A24" s="18">
        <v>2045</v>
      </c>
      <c r="B24" s="10">
        <v>3091.1766186700002</v>
      </c>
      <c r="C24" s="10">
        <v>2888.2332372000001</v>
      </c>
      <c r="D24" s="10">
        <v>7743.13188696</v>
      </c>
      <c r="E24" s="10">
        <v>122.2</v>
      </c>
      <c r="F24" s="10">
        <v>237.56</v>
      </c>
      <c r="G24" s="10">
        <v>122.2</v>
      </c>
      <c r="H24" s="10">
        <v>50</v>
      </c>
      <c r="I24" s="10">
        <v>237.56</v>
      </c>
      <c r="J24" s="10">
        <f t="shared" si="0"/>
        <v>-202.94338147000008</v>
      </c>
    </row>
    <row r="25" spans="1:10" x14ac:dyDescent="0.25">
      <c r="A25" s="18">
        <v>2046</v>
      </c>
      <c r="B25" s="10">
        <v>3348.66782027</v>
      </c>
      <c r="C25" s="10">
        <v>2893.90121327</v>
      </c>
      <c r="D25" s="10">
        <v>7540.1885054900004</v>
      </c>
      <c r="E25" s="10">
        <v>134.30000000000001</v>
      </c>
      <c r="F25" s="10">
        <v>261.19</v>
      </c>
      <c r="G25" s="10">
        <v>134.30000000000001</v>
      </c>
      <c r="H25" s="10">
        <v>86.135210423800004</v>
      </c>
      <c r="I25" s="10">
        <v>261.19</v>
      </c>
      <c r="J25" s="10">
        <f t="shared" si="0"/>
        <v>-454.76660700000002</v>
      </c>
    </row>
    <row r="26" spans="1:10" x14ac:dyDescent="0.25">
      <c r="A26" s="18">
        <v>2047</v>
      </c>
      <c r="B26" s="10">
        <v>3616.1852618200001</v>
      </c>
      <c r="C26" s="10">
        <v>2913.9361904900002</v>
      </c>
      <c r="D26" s="10">
        <v>7085.4218984899999</v>
      </c>
      <c r="E26" s="10">
        <v>146.87</v>
      </c>
      <c r="F26" s="10">
        <v>284.16000000000003</v>
      </c>
      <c r="G26" s="10">
        <v>146.87</v>
      </c>
      <c r="H26" s="10">
        <v>321.47843696500001</v>
      </c>
      <c r="I26" s="10">
        <v>284.16000000000003</v>
      </c>
      <c r="J26" s="10">
        <f t="shared" si="0"/>
        <v>-702.24907132999988</v>
      </c>
    </row>
    <row r="27" spans="1:10" x14ac:dyDescent="0.25">
      <c r="A27" s="18">
        <v>2048</v>
      </c>
      <c r="B27" s="10">
        <v>3918.1508217800001</v>
      </c>
      <c r="C27" s="10">
        <v>2997.5591331199998</v>
      </c>
      <c r="D27" s="10">
        <v>6383.1728271600005</v>
      </c>
      <c r="E27" s="10">
        <v>161.22</v>
      </c>
      <c r="F27" s="10">
        <v>313.08999999999997</v>
      </c>
      <c r="G27" s="10">
        <v>161.22</v>
      </c>
      <c r="H27" s="10">
        <v>562.84544843799995</v>
      </c>
      <c r="I27" s="10">
        <v>313.08999999999997</v>
      </c>
      <c r="J27" s="10">
        <f t="shared" si="0"/>
        <v>-920.59168866000027</v>
      </c>
    </row>
    <row r="28" spans="1:10" x14ac:dyDescent="0.25">
      <c r="A28" s="18">
        <v>2049</v>
      </c>
      <c r="B28" s="10">
        <v>4254.0591780100003</v>
      </c>
      <c r="C28" s="10">
        <v>3087.2912798799998</v>
      </c>
      <c r="D28" s="10">
        <v>5462.5811385099996</v>
      </c>
      <c r="E28" s="10">
        <v>177.32</v>
      </c>
      <c r="F28" s="10">
        <v>345.76</v>
      </c>
      <c r="G28" s="10">
        <v>177.32</v>
      </c>
      <c r="H28" s="10">
        <v>899.34448537100002</v>
      </c>
      <c r="I28" s="10">
        <v>345.76</v>
      </c>
      <c r="J28" s="10">
        <f t="shared" si="0"/>
        <v>-1166.7678981300005</v>
      </c>
    </row>
    <row r="29" spans="1:10" x14ac:dyDescent="0.25">
      <c r="A29" s="18">
        <v>2050</v>
      </c>
      <c r="B29" s="10">
        <v>4640.3366382900003</v>
      </c>
      <c r="C29" s="10">
        <v>3183.0004727300002</v>
      </c>
      <c r="D29" s="10">
        <v>4295.8132403700001</v>
      </c>
      <c r="E29" s="10">
        <v>196.05</v>
      </c>
      <c r="F29" s="10">
        <v>378.6</v>
      </c>
      <c r="G29" s="10">
        <v>117.714973128</v>
      </c>
      <c r="H29" s="10">
        <v>1230.0431758100001</v>
      </c>
      <c r="I29" s="10">
        <v>378.6</v>
      </c>
      <c r="J29" s="10">
        <f t="shared" si="0"/>
        <v>-1457.3361655600002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C8C2-7D96-4273-B39B-2FC04E99EC27}">
  <dimension ref="A1:I29"/>
  <sheetViews>
    <sheetView workbookViewId="0">
      <selection activeCell="J10" sqref="J10"/>
    </sheetView>
  </sheetViews>
  <sheetFormatPr defaultRowHeight="15" x14ac:dyDescent="0.25"/>
  <cols>
    <col min="2" max="2" width="9.5703125" customWidth="1"/>
    <col min="3" max="3" width="11.42578125" customWidth="1"/>
    <col min="4" max="4" width="12.28515625" customWidth="1"/>
    <col min="5" max="5" width="17.5703125" customWidth="1"/>
    <col min="6" max="6" width="17.42578125" customWidth="1"/>
    <col min="7" max="7" width="13.42578125" customWidth="1"/>
    <col min="8" max="8" width="23.42578125" customWidth="1"/>
    <col min="9" max="9" width="21.7109375" customWidth="1"/>
  </cols>
  <sheetData>
    <row r="1" spans="1:9" ht="30" x14ac:dyDescent="0.25">
      <c r="A1" s="21" t="s">
        <v>0</v>
      </c>
      <c r="B1" s="22" t="s">
        <v>26</v>
      </c>
      <c r="C1" s="22" t="s">
        <v>27</v>
      </c>
      <c r="D1" s="22" t="s">
        <v>28</v>
      </c>
      <c r="E1" s="23" t="s">
        <v>29</v>
      </c>
      <c r="F1" s="23" t="s">
        <v>30</v>
      </c>
      <c r="G1" s="22" t="s">
        <v>31</v>
      </c>
      <c r="H1" s="23" t="s">
        <v>32</v>
      </c>
      <c r="I1" s="23" t="s">
        <v>33</v>
      </c>
    </row>
    <row r="2" spans="1:9" x14ac:dyDescent="0.25">
      <c r="A2" s="24">
        <v>2023</v>
      </c>
      <c r="B2" s="1">
        <v>300</v>
      </c>
      <c r="C2" s="1">
        <v>348</v>
      </c>
      <c r="D2" s="1">
        <f>B2+C2</f>
        <v>648</v>
      </c>
      <c r="E2" s="1">
        <f>B2*100/D2</f>
        <v>46.296296296296298</v>
      </c>
      <c r="F2" s="1">
        <f>100-E2</f>
        <v>53.703703703703702</v>
      </c>
      <c r="G2" s="1">
        <v>28.4525389125</v>
      </c>
      <c r="H2" s="25">
        <f>G2/D2</f>
        <v>4.39082390625E-2</v>
      </c>
      <c r="I2" s="26">
        <f>G2/B2</f>
        <v>9.4841796374999995E-2</v>
      </c>
    </row>
    <row r="3" spans="1:9" x14ac:dyDescent="0.25">
      <c r="A3" s="24">
        <v>2024</v>
      </c>
      <c r="B3" s="1">
        <v>540.77446228600002</v>
      </c>
      <c r="C3" s="1">
        <v>361.7808</v>
      </c>
      <c r="D3" s="1">
        <f t="shared" ref="D3:D29" si="0">B3+C3</f>
        <v>902.55526228600002</v>
      </c>
      <c r="E3" s="1">
        <f t="shared" ref="E3:E29" si="1">B3*100/D3</f>
        <v>59.91593920978552</v>
      </c>
      <c r="F3" s="1">
        <f t="shared" ref="F3:F29" si="2">100-E3</f>
        <v>40.08406079021448</v>
      </c>
      <c r="G3" s="1">
        <v>35.126595564600002</v>
      </c>
      <c r="H3" s="25">
        <f t="shared" ref="H3:H29" si="3">G3/D3</f>
        <v>3.8919052419716715E-2</v>
      </c>
      <c r="I3" s="26">
        <f t="shared" ref="I3:I29" si="4">G3/B3</f>
        <v>6.4956091706162261E-2</v>
      </c>
    </row>
    <row r="4" spans="1:9" x14ac:dyDescent="0.25">
      <c r="A4" s="24">
        <v>2025</v>
      </c>
      <c r="B4" s="1">
        <v>588.01342990800003</v>
      </c>
      <c r="C4" s="1">
        <v>376.10731967999999</v>
      </c>
      <c r="D4" s="1">
        <f t="shared" si="0"/>
        <v>964.12074958800008</v>
      </c>
      <c r="E4" s="1">
        <f t="shared" si="1"/>
        <v>60.98960427511566</v>
      </c>
      <c r="F4" s="1">
        <f t="shared" si="2"/>
        <v>39.01039572488434</v>
      </c>
      <c r="G4" s="1">
        <v>39.797324039499998</v>
      </c>
      <c r="H4" s="25">
        <f t="shared" si="3"/>
        <v>4.1278360678894919E-2</v>
      </c>
      <c r="I4" s="26">
        <f t="shared" si="4"/>
        <v>6.7680978044543386E-2</v>
      </c>
    </row>
    <row r="5" spans="1:9" x14ac:dyDescent="0.25">
      <c r="A5" s="24">
        <v>2026</v>
      </c>
      <c r="B5" s="1">
        <v>649.36570116400003</v>
      </c>
      <c r="C5" s="1">
        <v>391.00116953899999</v>
      </c>
      <c r="D5" s="1">
        <f t="shared" si="0"/>
        <v>1040.3668707030001</v>
      </c>
      <c r="E5" s="1">
        <f t="shared" si="1"/>
        <v>62.4169914912043</v>
      </c>
      <c r="F5" s="1">
        <f t="shared" si="2"/>
        <v>37.5830085087957</v>
      </c>
      <c r="G5" s="1">
        <v>47.324439892699999</v>
      </c>
      <c r="H5" s="25">
        <f t="shared" si="3"/>
        <v>4.5488222688907592E-2</v>
      </c>
      <c r="I5" s="26">
        <f t="shared" si="4"/>
        <v>7.2877948139037932E-2</v>
      </c>
    </row>
    <row r="6" spans="1:9" x14ac:dyDescent="0.25">
      <c r="A6" s="24">
        <v>2027</v>
      </c>
      <c r="B6" s="1">
        <v>702.66861464399994</v>
      </c>
      <c r="C6" s="1">
        <v>406.48481585299999</v>
      </c>
      <c r="D6" s="1">
        <f t="shared" si="0"/>
        <v>1109.153430497</v>
      </c>
      <c r="E6" s="1">
        <f t="shared" si="1"/>
        <v>63.351795641937606</v>
      </c>
      <c r="F6" s="1">
        <f t="shared" si="2"/>
        <v>36.648204358062394</v>
      </c>
      <c r="G6" s="1">
        <v>51.441210561600002</v>
      </c>
      <c r="H6" s="25">
        <f t="shared" si="3"/>
        <v>4.6378804903979547E-2</v>
      </c>
      <c r="I6" s="26">
        <f t="shared" si="4"/>
        <v>7.3208350977312653E-2</v>
      </c>
    </row>
    <row r="7" spans="1:9" x14ac:dyDescent="0.25">
      <c r="A7" s="24">
        <v>2028</v>
      </c>
      <c r="B7" s="1">
        <v>751.64816310200001</v>
      </c>
      <c r="C7" s="1">
        <v>422.58161456099998</v>
      </c>
      <c r="D7" s="1">
        <f t="shared" si="0"/>
        <v>1174.229777663</v>
      </c>
      <c r="E7" s="1">
        <f t="shared" si="1"/>
        <v>64.012016847159231</v>
      </c>
      <c r="F7" s="1">
        <f t="shared" si="2"/>
        <v>35.987983152840769</v>
      </c>
      <c r="G7" s="1">
        <v>54.575943424499997</v>
      </c>
      <c r="H7" s="25">
        <f t="shared" si="3"/>
        <v>4.6478078194473367E-2</v>
      </c>
      <c r="I7" s="26">
        <f t="shared" si="4"/>
        <v>7.2608363997417158E-2</v>
      </c>
    </row>
    <row r="8" spans="1:9" x14ac:dyDescent="0.25">
      <c r="A8" s="24">
        <v>2029</v>
      </c>
      <c r="B8" s="1">
        <v>808.54118030400002</v>
      </c>
      <c r="C8" s="1">
        <v>439.315846497</v>
      </c>
      <c r="D8" s="1">
        <f t="shared" si="0"/>
        <v>1247.8570268010001</v>
      </c>
      <c r="E8" s="1">
        <f t="shared" si="1"/>
        <v>64.794376514172626</v>
      </c>
      <c r="F8" s="1">
        <f t="shared" si="2"/>
        <v>35.205623485827374</v>
      </c>
      <c r="G8" s="1">
        <v>60.721378443600003</v>
      </c>
      <c r="H8" s="25">
        <f t="shared" si="3"/>
        <v>4.8660525316161433E-2</v>
      </c>
      <c r="I8" s="26">
        <f t="shared" si="4"/>
        <v>7.5099920601161746E-2</v>
      </c>
    </row>
    <row r="9" spans="1:9" x14ac:dyDescent="0.25">
      <c r="A9" s="24">
        <v>2030</v>
      </c>
      <c r="B9" s="1">
        <v>876.92133992799995</v>
      </c>
      <c r="C9" s="1">
        <v>456.71275401899999</v>
      </c>
      <c r="D9" s="1">
        <f t="shared" si="0"/>
        <v>1333.6340939469999</v>
      </c>
      <c r="E9" s="1">
        <f t="shared" si="1"/>
        <v>65.754268274042019</v>
      </c>
      <c r="F9" s="1">
        <f t="shared" si="2"/>
        <v>34.245731725957981</v>
      </c>
      <c r="G9" s="1">
        <v>65.833358290899994</v>
      </c>
      <c r="H9" s="25">
        <f t="shared" si="3"/>
        <v>4.9363883684212621E-2</v>
      </c>
      <c r="I9" s="26">
        <f t="shared" si="4"/>
        <v>7.5073276579522258E-2</v>
      </c>
    </row>
    <row r="10" spans="1:9" x14ac:dyDescent="0.25">
      <c r="A10" s="24">
        <v>2031</v>
      </c>
      <c r="B10" s="1">
        <v>955.902053303</v>
      </c>
      <c r="C10" s="1">
        <v>474.79857907799999</v>
      </c>
      <c r="D10" s="1">
        <f t="shared" si="0"/>
        <v>1430.7006323810001</v>
      </c>
      <c r="E10" s="1">
        <f t="shared" si="1"/>
        <v>66.813561947768832</v>
      </c>
      <c r="F10" s="1">
        <f t="shared" si="2"/>
        <v>33.186438052231168</v>
      </c>
      <c r="G10" s="1">
        <v>74.965760712800005</v>
      </c>
      <c r="H10" s="25">
        <f t="shared" si="3"/>
        <v>5.2397936378933807E-2</v>
      </c>
      <c r="I10" s="26">
        <f t="shared" si="4"/>
        <v>7.8424102609430738E-2</v>
      </c>
    </row>
    <row r="11" spans="1:9" x14ac:dyDescent="0.25">
      <c r="A11" s="24">
        <v>2032</v>
      </c>
      <c r="B11" s="1">
        <v>1026.2137193399999</v>
      </c>
      <c r="C11" s="1">
        <v>493.60060280900001</v>
      </c>
      <c r="D11" s="1">
        <f t="shared" si="0"/>
        <v>1519.814322149</v>
      </c>
      <c r="E11" s="1">
        <f t="shared" si="1"/>
        <v>67.52230877051781</v>
      </c>
      <c r="F11" s="1">
        <f t="shared" si="2"/>
        <v>32.47769122948219</v>
      </c>
      <c r="G11" s="1">
        <v>96.800287486200006</v>
      </c>
      <c r="H11" s="25">
        <f t="shared" si="3"/>
        <v>6.3692180074553781E-2</v>
      </c>
      <c r="I11" s="26">
        <f t="shared" si="4"/>
        <v>9.4327609991860406E-2</v>
      </c>
    </row>
    <row r="12" spans="1:9" x14ac:dyDescent="0.25">
      <c r="A12" s="24">
        <v>2033</v>
      </c>
      <c r="B12" s="1">
        <v>1092.35851207</v>
      </c>
      <c r="C12" s="1">
        <v>513.14718668099999</v>
      </c>
      <c r="D12" s="1">
        <f t="shared" si="0"/>
        <v>1605.505698751</v>
      </c>
      <c r="E12" s="1">
        <f t="shared" si="1"/>
        <v>68.038283073040361</v>
      </c>
      <c r="F12" s="1">
        <f t="shared" si="2"/>
        <v>31.961716926959639</v>
      </c>
      <c r="G12" s="1">
        <v>106.595446702</v>
      </c>
      <c r="H12" s="25">
        <f t="shared" si="3"/>
        <v>6.6393689405727874E-2</v>
      </c>
      <c r="I12" s="26">
        <f t="shared" si="4"/>
        <v>9.7582840728730649E-2</v>
      </c>
    </row>
    <row r="13" spans="1:9" x14ac:dyDescent="0.25">
      <c r="A13" s="24">
        <v>2034</v>
      </c>
      <c r="B13" s="1">
        <v>1167.6869056200001</v>
      </c>
      <c r="C13" s="1">
        <v>533.46781527300004</v>
      </c>
      <c r="D13" s="1">
        <f t="shared" si="0"/>
        <v>1701.1547208930001</v>
      </c>
      <c r="E13" s="1">
        <f t="shared" si="1"/>
        <v>68.640840911109905</v>
      </c>
      <c r="F13" s="1">
        <f t="shared" si="2"/>
        <v>31.359159088890095</v>
      </c>
      <c r="G13" s="1">
        <v>178.17906315499999</v>
      </c>
      <c r="H13" s="25">
        <f t="shared" si="3"/>
        <v>0.10474006918163628</v>
      </c>
      <c r="I13" s="26">
        <f t="shared" si="4"/>
        <v>0.15259147147872937</v>
      </c>
    </row>
    <row r="14" spans="1:9" x14ac:dyDescent="0.25">
      <c r="A14" s="24">
        <v>2035</v>
      </c>
      <c r="B14" s="1">
        <v>1257.45258145</v>
      </c>
      <c r="C14" s="1">
        <v>554.593140758</v>
      </c>
      <c r="D14" s="1">
        <f t="shared" si="0"/>
        <v>1812.0457222079999</v>
      </c>
      <c r="E14" s="1">
        <f t="shared" si="1"/>
        <v>69.394086806914487</v>
      </c>
      <c r="F14" s="1">
        <f t="shared" si="2"/>
        <v>30.605913193085513</v>
      </c>
      <c r="G14" s="1">
        <v>175.707533469</v>
      </c>
      <c r="H14" s="25">
        <f t="shared" si="3"/>
        <v>9.6966390701719279E-2</v>
      </c>
      <c r="I14" s="26">
        <f t="shared" si="4"/>
        <v>0.13973292994188874</v>
      </c>
    </row>
    <row r="15" spans="1:9" x14ac:dyDescent="0.25">
      <c r="A15" s="24">
        <v>2036</v>
      </c>
      <c r="B15" s="1">
        <v>1329.8846952599999</v>
      </c>
      <c r="C15" s="1">
        <v>576.55502913199996</v>
      </c>
      <c r="D15" s="1">
        <f t="shared" si="0"/>
        <v>1906.4397243919998</v>
      </c>
      <c r="E15" s="1">
        <f t="shared" si="1"/>
        <v>69.757500236946953</v>
      </c>
      <c r="F15" s="1">
        <f t="shared" si="2"/>
        <v>30.242499763053047</v>
      </c>
      <c r="G15" s="1">
        <v>169.28752329700001</v>
      </c>
      <c r="H15" s="25">
        <f t="shared" si="3"/>
        <v>8.8797731777745581E-2</v>
      </c>
      <c r="I15" s="26">
        <f t="shared" si="4"/>
        <v>0.12729488797064722</v>
      </c>
    </row>
    <row r="16" spans="1:9" x14ac:dyDescent="0.25">
      <c r="A16" s="24">
        <v>2037</v>
      </c>
      <c r="B16" s="1">
        <v>1311.0517578399999</v>
      </c>
      <c r="C16" s="1">
        <v>599.38660828599996</v>
      </c>
      <c r="D16" s="1">
        <f t="shared" si="0"/>
        <v>1910.4383661259999</v>
      </c>
      <c r="E16" s="1">
        <f t="shared" si="1"/>
        <v>68.625702932178839</v>
      </c>
      <c r="F16" s="1">
        <f t="shared" si="2"/>
        <v>31.374297067821161</v>
      </c>
      <c r="G16" s="1">
        <v>164.98843696399999</v>
      </c>
      <c r="H16" s="25">
        <f t="shared" si="3"/>
        <v>8.6361559676256236E-2</v>
      </c>
      <c r="I16" s="26">
        <f t="shared" si="4"/>
        <v>0.12584433526546943</v>
      </c>
    </row>
    <row r="17" spans="1:9" x14ac:dyDescent="0.25">
      <c r="A17" s="24">
        <v>2038</v>
      </c>
      <c r="B17" s="1">
        <v>1292.74477118</v>
      </c>
      <c r="C17" s="1">
        <v>623.122317974</v>
      </c>
      <c r="D17" s="1">
        <f t="shared" si="0"/>
        <v>1915.867089154</v>
      </c>
      <c r="E17" s="1">
        <f t="shared" si="1"/>
        <v>67.475702176754055</v>
      </c>
      <c r="F17" s="1">
        <f t="shared" si="2"/>
        <v>32.524297823245945</v>
      </c>
      <c r="G17" s="1">
        <v>162.73404689700001</v>
      </c>
      <c r="H17" s="25">
        <f t="shared" si="3"/>
        <v>8.4940154678923671E-2</v>
      </c>
      <c r="I17" s="26">
        <f t="shared" si="4"/>
        <v>0.12588257986026008</v>
      </c>
    </row>
    <row r="18" spans="1:9" x14ac:dyDescent="0.25">
      <c r="A18" s="24">
        <v>2039</v>
      </c>
      <c r="B18" s="1">
        <v>1274.9420060099999</v>
      </c>
      <c r="C18" s="1">
        <v>647.79796176599996</v>
      </c>
      <c r="D18" s="1">
        <f t="shared" si="0"/>
        <v>1922.739967776</v>
      </c>
      <c r="E18" s="1">
        <f t="shared" si="1"/>
        <v>66.308602690810204</v>
      </c>
      <c r="F18" s="1">
        <f t="shared" si="2"/>
        <v>33.691397309189796</v>
      </c>
      <c r="G18" s="1">
        <v>159.129916503</v>
      </c>
      <c r="H18" s="25">
        <f t="shared" si="3"/>
        <v>8.2762057880901505E-2</v>
      </c>
      <c r="I18" s="26">
        <f t="shared" si="4"/>
        <v>0.12481345484960975</v>
      </c>
    </row>
    <row r="19" spans="1:9" x14ac:dyDescent="0.25">
      <c r="A19" s="24">
        <v>2040</v>
      </c>
      <c r="B19" s="1">
        <v>1257.6229143800001</v>
      </c>
      <c r="C19" s="1">
        <v>673.45076105099997</v>
      </c>
      <c r="D19" s="1">
        <f t="shared" si="0"/>
        <v>1931.0736754310001</v>
      </c>
      <c r="E19" s="1">
        <f t="shared" si="1"/>
        <v>65.125579121123323</v>
      </c>
      <c r="F19" s="1">
        <f t="shared" si="2"/>
        <v>34.874420878876677</v>
      </c>
      <c r="G19" s="1">
        <v>159.80879854099999</v>
      </c>
      <c r="H19" s="25">
        <f t="shared" si="3"/>
        <v>8.2756448174009706E-2</v>
      </c>
      <c r="I19" s="26">
        <f t="shared" si="4"/>
        <v>0.12707211097516039</v>
      </c>
    </row>
    <row r="20" spans="1:9" x14ac:dyDescent="0.25">
      <c r="A20" s="24">
        <v>2041</v>
      </c>
      <c r="B20" s="1">
        <v>1257.6229143800001</v>
      </c>
      <c r="C20" s="1">
        <v>700.11941118899995</v>
      </c>
      <c r="D20" s="1">
        <f t="shared" si="0"/>
        <v>1957.7423255690001</v>
      </c>
      <c r="E20" s="1">
        <f t="shared" si="1"/>
        <v>64.238429028931748</v>
      </c>
      <c r="F20" s="1">
        <f t="shared" si="2"/>
        <v>35.761570971068252</v>
      </c>
      <c r="G20" s="1">
        <v>163.33522751500001</v>
      </c>
      <c r="H20" s="25">
        <f t="shared" si="3"/>
        <v>8.3430401121622644E-2</v>
      </c>
      <c r="I20" s="26">
        <f t="shared" si="4"/>
        <v>0.12987615416941031</v>
      </c>
    </row>
    <row r="21" spans="1:9" x14ac:dyDescent="0.25">
      <c r="A21" s="24">
        <v>2042</v>
      </c>
      <c r="B21" s="1">
        <v>754.57374862500001</v>
      </c>
      <c r="C21" s="1">
        <v>727.84413987200003</v>
      </c>
      <c r="D21" s="1">
        <f t="shared" si="0"/>
        <v>1482.4178884970001</v>
      </c>
      <c r="E21" s="1">
        <f t="shared" si="1"/>
        <v>50.901554445626012</v>
      </c>
      <c r="F21" s="1">
        <f t="shared" si="2"/>
        <v>49.098445554373988</v>
      </c>
      <c r="G21" s="1">
        <v>169.18489918700001</v>
      </c>
      <c r="H21" s="25">
        <f t="shared" si="3"/>
        <v>0.11412766973456714</v>
      </c>
      <c r="I21" s="26">
        <f t="shared" si="4"/>
        <v>0.22421254316797035</v>
      </c>
    </row>
    <row r="22" spans="1:9" x14ac:dyDescent="0.25">
      <c r="A22" s="24">
        <v>2043</v>
      </c>
      <c r="B22" s="1">
        <v>754.57374862500001</v>
      </c>
      <c r="C22" s="1">
        <v>756.666767811</v>
      </c>
      <c r="D22" s="1">
        <f t="shared" si="0"/>
        <v>1511.240516436</v>
      </c>
      <c r="E22" s="1">
        <f t="shared" si="1"/>
        <v>49.930751618844361</v>
      </c>
      <c r="F22" s="1">
        <f t="shared" si="2"/>
        <v>50.069248381155639</v>
      </c>
      <c r="G22" s="1">
        <v>181.048653699</v>
      </c>
      <c r="H22" s="25">
        <f t="shared" si="3"/>
        <v>0.11980134977188939</v>
      </c>
      <c r="I22" s="26">
        <f t="shared" si="4"/>
        <v>0.23993500175285798</v>
      </c>
    </row>
    <row r="23" spans="1:9" x14ac:dyDescent="0.25">
      <c r="A23" s="24">
        <v>2044</v>
      </c>
      <c r="B23" s="1">
        <v>754.57374862500001</v>
      </c>
      <c r="C23" s="1">
        <v>786.63077181599999</v>
      </c>
      <c r="D23" s="1">
        <f t="shared" si="0"/>
        <v>1541.2045204410001</v>
      </c>
      <c r="E23" s="1">
        <f t="shared" si="1"/>
        <v>48.96000100032709</v>
      </c>
      <c r="F23" s="1">
        <f t="shared" si="2"/>
        <v>51.03999899967291</v>
      </c>
      <c r="G23" s="1">
        <v>188.46565358699999</v>
      </c>
      <c r="H23" s="25">
        <f t="shared" si="3"/>
        <v>0.12228464884924711</v>
      </c>
      <c r="I23" s="26">
        <f t="shared" si="4"/>
        <v>0.24976439205634443</v>
      </c>
    </row>
    <row r="24" spans="1:9" x14ac:dyDescent="0.25">
      <c r="A24" s="24">
        <v>2045</v>
      </c>
      <c r="B24" s="1">
        <v>754.57374862500001</v>
      </c>
      <c r="C24" s="1">
        <v>817.78135038000005</v>
      </c>
      <c r="D24" s="1">
        <f t="shared" si="0"/>
        <v>1572.3550990050001</v>
      </c>
      <c r="E24" s="1">
        <f t="shared" si="1"/>
        <v>47.990034127946089</v>
      </c>
      <c r="F24" s="1">
        <f t="shared" si="2"/>
        <v>52.009965872053911</v>
      </c>
      <c r="G24" s="1">
        <v>215.13580338400001</v>
      </c>
      <c r="H24" s="25">
        <f t="shared" si="3"/>
        <v>0.13682392960733858</v>
      </c>
      <c r="I24" s="26">
        <f t="shared" si="4"/>
        <v>0.28510904835481615</v>
      </c>
    </row>
    <row r="25" spans="1:9" x14ac:dyDescent="0.25">
      <c r="A25" s="24">
        <v>2046</v>
      </c>
      <c r="B25" s="1">
        <v>754.57374862500001</v>
      </c>
      <c r="C25" s="1">
        <v>850.16549185500003</v>
      </c>
      <c r="D25" s="1">
        <f t="shared" si="0"/>
        <v>1604.73924048</v>
      </c>
      <c r="E25" s="1">
        <f t="shared" si="1"/>
        <v>47.021580178926541</v>
      </c>
      <c r="F25" s="1">
        <f t="shared" si="2"/>
        <v>52.978419821073459</v>
      </c>
      <c r="G25" s="1">
        <v>172.879620913</v>
      </c>
      <c r="H25" s="25">
        <f t="shared" si="3"/>
        <v>0.10773066212382847</v>
      </c>
      <c r="I25" s="26">
        <f t="shared" si="4"/>
        <v>0.22910897871549976</v>
      </c>
    </row>
    <row r="26" spans="1:9" x14ac:dyDescent="0.25">
      <c r="A26" s="24">
        <v>2047</v>
      </c>
      <c r="B26" s="1">
        <v>754.57374862500001</v>
      </c>
      <c r="C26" s="1">
        <v>883.832045333</v>
      </c>
      <c r="D26" s="1">
        <f t="shared" si="0"/>
        <v>1638.405793958</v>
      </c>
      <c r="E26" s="1">
        <f t="shared" si="1"/>
        <v>46.055363781528669</v>
      </c>
      <c r="F26" s="1">
        <f t="shared" si="2"/>
        <v>53.944636218471331</v>
      </c>
      <c r="G26" s="1">
        <v>143.47568102</v>
      </c>
      <c r="H26" s="25">
        <f t="shared" si="3"/>
        <v>8.7570296411975432E-2</v>
      </c>
      <c r="I26" s="26">
        <f t="shared" si="4"/>
        <v>0.19014136296345369</v>
      </c>
    </row>
    <row r="27" spans="1:9" x14ac:dyDescent="0.25">
      <c r="A27" s="24">
        <v>2048</v>
      </c>
      <c r="B27" s="1">
        <v>803.50197739500004</v>
      </c>
      <c r="C27" s="1">
        <v>918.831794328</v>
      </c>
      <c r="D27" s="1">
        <f t="shared" si="0"/>
        <v>1722.3337717230002</v>
      </c>
      <c r="E27" s="1">
        <f t="shared" si="1"/>
        <v>46.651931848911438</v>
      </c>
      <c r="F27" s="1">
        <f t="shared" si="2"/>
        <v>53.348068151088562</v>
      </c>
      <c r="G27" s="1">
        <v>176.043376835</v>
      </c>
      <c r="H27" s="25">
        <f t="shared" si="3"/>
        <v>0.10221211458850309</v>
      </c>
      <c r="I27" s="26">
        <f t="shared" si="4"/>
        <v>0.21909513826679411</v>
      </c>
    </row>
    <row r="28" spans="1:9" x14ac:dyDescent="0.25">
      <c r="A28" s="24">
        <v>2049</v>
      </c>
      <c r="B28" s="1">
        <v>857.82533405100003</v>
      </c>
      <c r="C28" s="1">
        <v>955.21753338400003</v>
      </c>
      <c r="D28" s="1">
        <f t="shared" si="0"/>
        <v>1813.0428674350001</v>
      </c>
      <c r="E28" s="1">
        <f t="shared" si="1"/>
        <v>47.314123094320827</v>
      </c>
      <c r="F28" s="1">
        <f t="shared" si="2"/>
        <v>52.685876905679173</v>
      </c>
      <c r="G28" s="1">
        <v>213.04088908899999</v>
      </c>
      <c r="H28" s="25">
        <f t="shared" si="3"/>
        <v>0.11750460671147799</v>
      </c>
      <c r="I28" s="26">
        <f t="shared" si="4"/>
        <v>0.2483499619706197</v>
      </c>
    </row>
    <row r="29" spans="1:9" x14ac:dyDescent="0.25">
      <c r="A29" s="24">
        <v>2050</v>
      </c>
      <c r="B29" s="1">
        <v>908.98602953199998</v>
      </c>
      <c r="C29" s="1">
        <v>993.044147705</v>
      </c>
      <c r="D29" s="1">
        <f t="shared" si="0"/>
        <v>1902.0301772369999</v>
      </c>
      <c r="E29" s="1">
        <f t="shared" si="1"/>
        <v>47.790305349016393</v>
      </c>
      <c r="F29" s="1">
        <f t="shared" si="2"/>
        <v>52.209694650983607</v>
      </c>
      <c r="G29" s="1">
        <v>254.322728627</v>
      </c>
      <c r="H29" s="27">
        <f t="shared" si="3"/>
        <v>0.1337111953693837</v>
      </c>
      <c r="I29" s="26">
        <f t="shared" si="4"/>
        <v>0.27978727985284929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CB96-ABEB-43EE-AC97-67DA07F257D4}">
  <dimension ref="A1:I29"/>
  <sheetViews>
    <sheetView workbookViewId="0">
      <selection sqref="A1:XFD1048576"/>
    </sheetView>
  </sheetViews>
  <sheetFormatPr defaultRowHeight="15" x14ac:dyDescent="0.25"/>
  <cols>
    <col min="2" max="2" width="9.5703125" customWidth="1"/>
    <col min="3" max="3" width="11.42578125" customWidth="1"/>
    <col min="4" max="4" width="12.28515625" customWidth="1"/>
    <col min="5" max="5" width="17.5703125" customWidth="1"/>
    <col min="6" max="6" width="17.42578125" customWidth="1"/>
    <col min="7" max="7" width="13.42578125" customWidth="1"/>
    <col min="8" max="8" width="23.42578125" customWidth="1"/>
    <col min="9" max="9" width="19.85546875" customWidth="1"/>
  </cols>
  <sheetData>
    <row r="1" spans="1:9" ht="45" x14ac:dyDescent="0.25">
      <c r="A1" s="21" t="s">
        <v>0</v>
      </c>
      <c r="B1" s="22" t="s">
        <v>26</v>
      </c>
      <c r="C1" s="22" t="s">
        <v>27</v>
      </c>
      <c r="D1" s="22" t="s">
        <v>28</v>
      </c>
      <c r="E1" s="23" t="s">
        <v>29</v>
      </c>
      <c r="F1" s="23" t="s">
        <v>30</v>
      </c>
      <c r="G1" s="22" t="s">
        <v>31</v>
      </c>
      <c r="H1" s="23" t="s">
        <v>32</v>
      </c>
      <c r="I1" s="23" t="s">
        <v>33</v>
      </c>
    </row>
    <row r="2" spans="1:9" x14ac:dyDescent="0.25">
      <c r="A2" s="24">
        <v>2023</v>
      </c>
      <c r="B2" s="28">
        <v>300</v>
      </c>
      <c r="C2" s="28">
        <v>348</v>
      </c>
      <c r="D2" s="1">
        <f>B2+C2</f>
        <v>648</v>
      </c>
      <c r="E2" s="1">
        <f>B2*100/D2</f>
        <v>46.296296296296298</v>
      </c>
      <c r="F2" s="1">
        <f>100-E2</f>
        <v>53.703703703703702</v>
      </c>
      <c r="G2" s="1">
        <v>28.4525389125</v>
      </c>
      <c r="H2" s="25">
        <f>G2/D2</f>
        <v>4.39082390625E-2</v>
      </c>
      <c r="I2" s="26">
        <f>G2/B2</f>
        <v>9.4841796374999995E-2</v>
      </c>
    </row>
    <row r="3" spans="1:9" x14ac:dyDescent="0.25">
      <c r="A3" s="24">
        <v>2024</v>
      </c>
      <c r="B3" s="28">
        <v>639.45868289600003</v>
      </c>
      <c r="C3" s="28">
        <v>361.7808</v>
      </c>
      <c r="D3" s="1">
        <f t="shared" ref="D3:D29" si="0">B3+C3</f>
        <v>1001.239482896</v>
      </c>
      <c r="E3" s="1">
        <f t="shared" ref="E3:E29" si="1">B3*100/D3</f>
        <v>63.866706599146511</v>
      </c>
      <c r="F3" s="1">
        <f t="shared" ref="F3:F29" si="2">100-E3</f>
        <v>36.133293400853489</v>
      </c>
      <c r="G3" s="1">
        <v>35.1265960534</v>
      </c>
      <c r="H3" s="25">
        <f t="shared" ref="H3:H29" si="3">G3/D3</f>
        <v>3.5083111137206961E-2</v>
      </c>
      <c r="I3" s="26">
        <f t="shared" ref="I3:I29" si="4">G3/B3</f>
        <v>5.4931768060944297E-2</v>
      </c>
    </row>
    <row r="4" spans="1:9" x14ac:dyDescent="0.25">
      <c r="A4" s="24">
        <v>2025</v>
      </c>
      <c r="B4" s="28">
        <v>734.61986541199997</v>
      </c>
      <c r="C4" s="28">
        <v>376.10731967999999</v>
      </c>
      <c r="D4" s="1">
        <f t="shared" si="0"/>
        <v>1110.7271850919999</v>
      </c>
      <c r="E4" s="1">
        <f t="shared" si="1"/>
        <v>66.138640997712898</v>
      </c>
      <c r="F4" s="1">
        <f t="shared" si="2"/>
        <v>33.861359002287102</v>
      </c>
      <c r="G4" s="1">
        <v>39.797344761600002</v>
      </c>
      <c r="H4" s="25">
        <f t="shared" si="3"/>
        <v>3.5829990744580223E-2</v>
      </c>
      <c r="I4" s="26">
        <f t="shared" si="4"/>
        <v>5.4174065575098886E-2</v>
      </c>
    </row>
    <row r="5" spans="1:9" x14ac:dyDescent="0.25">
      <c r="A5" s="24">
        <v>2026</v>
      </c>
      <c r="B5" s="28">
        <v>853.66746352400003</v>
      </c>
      <c r="C5" s="28">
        <v>391.00116953899999</v>
      </c>
      <c r="D5" s="1">
        <f t="shared" si="0"/>
        <v>1244.668633063</v>
      </c>
      <c r="E5" s="1">
        <f t="shared" si="1"/>
        <v>68.585922457386374</v>
      </c>
      <c r="F5" s="1">
        <f t="shared" si="2"/>
        <v>31.414077542613626</v>
      </c>
      <c r="G5" s="1">
        <v>47.3246375656</v>
      </c>
      <c r="H5" s="25">
        <f t="shared" si="3"/>
        <v>3.8021876914451511E-2</v>
      </c>
      <c r="I5" s="26">
        <f t="shared" si="4"/>
        <v>5.5436852858653567E-2</v>
      </c>
    </row>
    <row r="6" spans="1:9" x14ac:dyDescent="0.25">
      <c r="A6" s="24">
        <v>2027</v>
      </c>
      <c r="B6" s="28">
        <v>968.41414084600001</v>
      </c>
      <c r="C6" s="28">
        <v>406.48481585299999</v>
      </c>
      <c r="D6" s="1">
        <f t="shared" si="0"/>
        <v>1374.8989566989999</v>
      </c>
      <c r="E6" s="1">
        <f t="shared" si="1"/>
        <v>70.435295344980773</v>
      </c>
      <c r="F6" s="1">
        <f t="shared" si="2"/>
        <v>29.564704655019227</v>
      </c>
      <c r="G6" s="1">
        <v>51.442229195400003</v>
      </c>
      <c r="H6" s="25">
        <f t="shared" si="3"/>
        <v>3.7415279824568236E-2</v>
      </c>
      <c r="I6" s="26">
        <f t="shared" si="4"/>
        <v>5.3120072317882946E-2</v>
      </c>
    </row>
    <row r="7" spans="1:9" x14ac:dyDescent="0.25">
      <c r="A7" s="24">
        <v>2028</v>
      </c>
      <c r="B7" s="28">
        <v>1082.7970172400001</v>
      </c>
      <c r="C7" s="28">
        <v>422.58161456099998</v>
      </c>
      <c r="D7" s="1">
        <f t="shared" si="0"/>
        <v>1505.378631801</v>
      </c>
      <c r="E7" s="1">
        <f t="shared" si="1"/>
        <v>71.928549692814954</v>
      </c>
      <c r="F7" s="1">
        <f t="shared" si="2"/>
        <v>28.071450307185046</v>
      </c>
      <c r="G7" s="1">
        <v>54.579663013800001</v>
      </c>
      <c r="H7" s="25">
        <f t="shared" si="3"/>
        <v>3.625643533182224E-2</v>
      </c>
      <c r="I7" s="26">
        <f t="shared" si="4"/>
        <v>5.0406181532454769E-2</v>
      </c>
    </row>
    <row r="8" spans="1:9" x14ac:dyDescent="0.25">
      <c r="A8" s="24">
        <v>2029</v>
      </c>
      <c r="B8" s="28">
        <v>1214.2138394200001</v>
      </c>
      <c r="C8" s="28">
        <v>439.315846497</v>
      </c>
      <c r="D8" s="1">
        <f t="shared" si="0"/>
        <v>1653.5296859170001</v>
      </c>
      <c r="E8" s="1">
        <f t="shared" si="1"/>
        <v>73.431632329396734</v>
      </c>
      <c r="F8" s="1">
        <f t="shared" si="2"/>
        <v>26.568367670603266</v>
      </c>
      <c r="G8" s="1">
        <v>60.732256893799999</v>
      </c>
      <c r="H8" s="25">
        <f t="shared" si="3"/>
        <v>3.6728857915919205E-2</v>
      </c>
      <c r="I8" s="26">
        <f t="shared" si="4"/>
        <v>5.0017760399445201E-2</v>
      </c>
    </row>
    <row r="9" spans="1:9" x14ac:dyDescent="0.25">
      <c r="A9" s="24">
        <v>2030</v>
      </c>
      <c r="B9" s="28">
        <v>1412.3452600999999</v>
      </c>
      <c r="C9" s="28">
        <v>456.71275401899999</v>
      </c>
      <c r="D9" s="1">
        <f t="shared" si="0"/>
        <v>1869.0580141189998</v>
      </c>
      <c r="E9" s="1">
        <f t="shared" si="1"/>
        <v>75.56454906327366</v>
      </c>
      <c r="F9" s="1">
        <f t="shared" si="2"/>
        <v>24.43545093672634</v>
      </c>
      <c r="G9" s="1">
        <v>65.860631042700007</v>
      </c>
      <c r="H9" s="25">
        <f t="shared" si="3"/>
        <v>3.5237339100864726E-2</v>
      </c>
      <c r="I9" s="26">
        <f t="shared" si="4"/>
        <v>4.6632103992784883E-2</v>
      </c>
    </row>
    <row r="10" spans="1:9" x14ac:dyDescent="0.25">
      <c r="A10" s="24">
        <v>2031</v>
      </c>
      <c r="B10" s="28">
        <v>1317.1553600300001</v>
      </c>
      <c r="C10" s="28">
        <v>474.79857907799999</v>
      </c>
      <c r="D10" s="1">
        <f t="shared" si="0"/>
        <v>1791.9539391080002</v>
      </c>
      <c r="E10" s="1">
        <f t="shared" si="1"/>
        <v>73.503862531514315</v>
      </c>
      <c r="F10" s="1">
        <f t="shared" si="2"/>
        <v>26.496137468485685</v>
      </c>
      <c r="G10" s="1">
        <v>75.0267238566</v>
      </c>
      <c r="H10" s="25">
        <f t="shared" si="3"/>
        <v>4.1868667614272964E-2</v>
      </c>
      <c r="I10" s="26">
        <f t="shared" si="4"/>
        <v>5.6961180232293296E-2</v>
      </c>
    </row>
    <row r="11" spans="1:9" x14ac:dyDescent="0.25">
      <c r="A11" s="24">
        <v>2032</v>
      </c>
      <c r="B11" s="28">
        <v>1507.9072379700001</v>
      </c>
      <c r="C11" s="28">
        <v>493.60060280900001</v>
      </c>
      <c r="D11" s="1">
        <f t="shared" si="0"/>
        <v>2001.5078407790002</v>
      </c>
      <c r="E11" s="1">
        <f t="shared" si="1"/>
        <v>75.338562620025144</v>
      </c>
      <c r="F11" s="1">
        <f t="shared" si="2"/>
        <v>24.661437379974856</v>
      </c>
      <c r="G11" s="1">
        <v>96.925014312000002</v>
      </c>
      <c r="H11" s="25">
        <f t="shared" si="3"/>
        <v>4.8425997808870011E-2</v>
      </c>
      <c r="I11" s="26">
        <f t="shared" si="4"/>
        <v>6.4277836110452E-2</v>
      </c>
    </row>
    <row r="12" spans="1:9" x14ac:dyDescent="0.25">
      <c r="A12" s="24">
        <v>2033</v>
      </c>
      <c r="B12" s="28">
        <v>1507.9072379700001</v>
      </c>
      <c r="C12" s="28">
        <v>513.14718668099999</v>
      </c>
      <c r="D12" s="1">
        <f t="shared" si="0"/>
        <v>2021.0544246510001</v>
      </c>
      <c r="E12" s="1">
        <f t="shared" si="1"/>
        <v>74.609927351678749</v>
      </c>
      <c r="F12" s="1">
        <f t="shared" si="2"/>
        <v>25.390072648321251</v>
      </c>
      <c r="G12" s="1">
        <v>106.833242583</v>
      </c>
      <c r="H12" s="25">
        <f t="shared" si="3"/>
        <v>5.2860151255673477E-2</v>
      </c>
      <c r="I12" s="26">
        <f t="shared" si="4"/>
        <v>7.0848683455371445E-2</v>
      </c>
    </row>
    <row r="13" spans="1:9" x14ac:dyDescent="0.25">
      <c r="A13" s="24">
        <v>2034</v>
      </c>
      <c r="B13" s="28">
        <v>1507.9072379700001</v>
      </c>
      <c r="C13" s="28">
        <v>533.46781527300004</v>
      </c>
      <c r="D13" s="1">
        <f t="shared" si="0"/>
        <v>2041.3750532430001</v>
      </c>
      <c r="E13" s="1">
        <f t="shared" si="1"/>
        <v>73.867231578757938</v>
      </c>
      <c r="F13" s="1">
        <f t="shared" si="2"/>
        <v>26.132768421242062</v>
      </c>
      <c r="G13" s="1">
        <v>178.60675863500001</v>
      </c>
      <c r="H13" s="25">
        <f t="shared" si="3"/>
        <v>8.749335814173835E-2</v>
      </c>
      <c r="I13" s="26">
        <f t="shared" si="4"/>
        <v>0.11844678116635805</v>
      </c>
    </row>
    <row r="14" spans="1:9" x14ac:dyDescent="0.25">
      <c r="A14" s="24">
        <v>2035</v>
      </c>
      <c r="B14" s="28">
        <v>1507.9072379700001</v>
      </c>
      <c r="C14" s="28">
        <v>554.593140758</v>
      </c>
      <c r="D14" s="1">
        <f t="shared" si="0"/>
        <v>2062.5003787280002</v>
      </c>
      <c r="E14" s="1">
        <f t="shared" si="1"/>
        <v>73.110640537189497</v>
      </c>
      <c r="F14" s="1">
        <f t="shared" si="2"/>
        <v>26.889359462810503</v>
      </c>
      <c r="G14" s="1">
        <v>176.43970584799999</v>
      </c>
      <c r="H14" s="25">
        <f t="shared" si="3"/>
        <v>8.5546508338977922E-2</v>
      </c>
      <c r="I14" s="26">
        <f t="shared" si="4"/>
        <v>0.11700965510685496</v>
      </c>
    </row>
    <row r="15" spans="1:9" x14ac:dyDescent="0.25">
      <c r="A15" s="24">
        <v>2036</v>
      </c>
      <c r="B15" s="28">
        <v>1507.9072379700001</v>
      </c>
      <c r="C15" s="28">
        <v>576.55502913199996</v>
      </c>
      <c r="D15" s="1">
        <f t="shared" si="0"/>
        <v>2084.4622671020002</v>
      </c>
      <c r="E15" s="1">
        <f t="shared" si="1"/>
        <v>72.34034704146616</v>
      </c>
      <c r="F15" s="1">
        <f t="shared" si="2"/>
        <v>27.65965295853384</v>
      </c>
      <c r="G15" s="1">
        <v>170.48863803099999</v>
      </c>
      <c r="H15" s="25">
        <f t="shared" si="3"/>
        <v>8.1790225096292121E-2</v>
      </c>
      <c r="I15" s="26">
        <f t="shared" si="4"/>
        <v>0.11306308089648673</v>
      </c>
    </row>
    <row r="16" spans="1:9" x14ac:dyDescent="0.25">
      <c r="A16" s="24">
        <v>2037</v>
      </c>
      <c r="B16" s="28">
        <v>1507.9072379700001</v>
      </c>
      <c r="C16" s="28">
        <v>599.38660828599996</v>
      </c>
      <c r="D16" s="1">
        <f t="shared" si="0"/>
        <v>2107.2938462560001</v>
      </c>
      <c r="E16" s="1">
        <f t="shared" si="1"/>
        <v>71.556571982074459</v>
      </c>
      <c r="F16" s="1">
        <f t="shared" si="2"/>
        <v>28.443428017925541</v>
      </c>
      <c r="G16" s="1">
        <v>166.886755096</v>
      </c>
      <c r="H16" s="25">
        <f t="shared" si="3"/>
        <v>7.91948191717569E-2</v>
      </c>
      <c r="I16" s="26">
        <f t="shared" si="4"/>
        <v>0.11067441742681006</v>
      </c>
    </row>
    <row r="17" spans="1:9" x14ac:dyDescent="0.25">
      <c r="A17" s="24">
        <v>2038</v>
      </c>
      <c r="B17" s="28">
        <v>1507.9072379700001</v>
      </c>
      <c r="C17" s="28">
        <v>623.122317974</v>
      </c>
      <c r="D17" s="1">
        <f t="shared" si="0"/>
        <v>2131.0295559440001</v>
      </c>
      <c r="E17" s="1">
        <f t="shared" si="1"/>
        <v>70.75956472607578</v>
      </c>
      <c r="F17" s="1">
        <f t="shared" si="2"/>
        <v>29.24043527392422</v>
      </c>
      <c r="G17" s="1">
        <v>165.63666423699999</v>
      </c>
      <c r="H17" s="25">
        <f t="shared" si="3"/>
        <v>7.7726122462729766E-2</v>
      </c>
      <c r="I17" s="26">
        <f t="shared" si="4"/>
        <v>0.10984539371267037</v>
      </c>
    </row>
    <row r="18" spans="1:9" x14ac:dyDescent="0.25">
      <c r="A18" s="24">
        <v>2039</v>
      </c>
      <c r="B18" s="28">
        <v>1507.9072379700001</v>
      </c>
      <c r="C18" s="28">
        <v>647.79796176599996</v>
      </c>
      <c r="D18" s="1">
        <f t="shared" si="0"/>
        <v>2155.7051997359999</v>
      </c>
      <c r="E18" s="1">
        <f t="shared" si="1"/>
        <v>69.949603413057929</v>
      </c>
      <c r="F18" s="1">
        <f t="shared" si="2"/>
        <v>30.050396586942071</v>
      </c>
      <c r="G18" s="1">
        <v>163.43881046499999</v>
      </c>
      <c r="H18" s="25">
        <f t="shared" si="3"/>
        <v>7.5816865165522468E-2</v>
      </c>
      <c r="I18" s="26">
        <f t="shared" si="4"/>
        <v>0.10838784134031168</v>
      </c>
    </row>
    <row r="19" spans="1:9" x14ac:dyDescent="0.25">
      <c r="A19" s="24">
        <v>2040</v>
      </c>
      <c r="B19" s="28">
        <v>1707.3409309000001</v>
      </c>
      <c r="C19" s="28">
        <v>673.45076105099997</v>
      </c>
      <c r="D19" s="1">
        <f t="shared" si="0"/>
        <v>2380.7916919509998</v>
      </c>
      <c r="E19" s="1">
        <f t="shared" si="1"/>
        <v>71.713158974478631</v>
      </c>
      <c r="F19" s="1">
        <f t="shared" si="2"/>
        <v>28.286841025521369</v>
      </c>
      <c r="G19" s="1">
        <v>166.03673242299999</v>
      </c>
      <c r="H19" s="25">
        <f t="shared" si="3"/>
        <v>6.9740134336127912E-2</v>
      </c>
      <c r="I19" s="26">
        <f t="shared" si="4"/>
        <v>9.7248727197956963E-2</v>
      </c>
    </row>
    <row r="20" spans="1:9" x14ac:dyDescent="0.25">
      <c r="A20" s="24">
        <v>2041</v>
      </c>
      <c r="B20" s="28">
        <v>1452.7777127700001</v>
      </c>
      <c r="C20" s="28">
        <v>700.11941118899995</v>
      </c>
      <c r="D20" s="1">
        <f t="shared" si="0"/>
        <v>2152.8971239590001</v>
      </c>
      <c r="E20" s="1">
        <f t="shared" si="1"/>
        <v>67.480126969488538</v>
      </c>
      <c r="F20" s="1">
        <f t="shared" si="2"/>
        <v>32.519873030511462</v>
      </c>
      <c r="G20" s="1">
        <v>172.121006902</v>
      </c>
      <c r="H20" s="25">
        <f t="shared" si="3"/>
        <v>7.9948551645367835E-2</v>
      </c>
      <c r="I20" s="26">
        <f t="shared" si="4"/>
        <v>0.11847718022450812</v>
      </c>
    </row>
    <row r="21" spans="1:9" x14ac:dyDescent="0.25">
      <c r="A21" s="24">
        <v>2042</v>
      </c>
      <c r="B21" s="28">
        <v>1656.8623780200001</v>
      </c>
      <c r="C21" s="28">
        <v>727.84413987200003</v>
      </c>
      <c r="D21" s="1">
        <f t="shared" si="0"/>
        <v>2384.7065178920002</v>
      </c>
      <c r="E21" s="1">
        <f t="shared" si="1"/>
        <v>69.47867025098796</v>
      </c>
      <c r="F21" s="1">
        <f t="shared" si="2"/>
        <v>30.52132974901204</v>
      </c>
      <c r="G21" s="1">
        <v>181.30679972199999</v>
      </c>
      <c r="H21" s="25">
        <f t="shared" si="3"/>
        <v>7.6028978141205003E-2</v>
      </c>
      <c r="I21" s="26">
        <f t="shared" si="4"/>
        <v>0.10942779685701297</v>
      </c>
    </row>
    <row r="22" spans="1:9" x14ac:dyDescent="0.25">
      <c r="A22" s="24">
        <v>2043</v>
      </c>
      <c r="B22" s="28">
        <v>1851.83113753</v>
      </c>
      <c r="C22" s="28">
        <v>756.666767811</v>
      </c>
      <c r="D22" s="1">
        <f t="shared" si="0"/>
        <v>2608.4979053409998</v>
      </c>
      <c r="E22" s="1">
        <f t="shared" si="1"/>
        <v>70.992241693516576</v>
      </c>
      <c r="F22" s="1">
        <f t="shared" si="2"/>
        <v>29.007758306483424</v>
      </c>
      <c r="G22" s="1">
        <v>197.43477227700001</v>
      </c>
      <c r="H22" s="25">
        <f t="shared" si="3"/>
        <v>7.5689066827596338E-2</v>
      </c>
      <c r="I22" s="26">
        <f t="shared" si="4"/>
        <v>0.10661596960743486</v>
      </c>
    </row>
    <row r="23" spans="1:9" x14ac:dyDescent="0.25">
      <c r="A23" s="24">
        <v>2044</v>
      </c>
      <c r="B23" s="28">
        <v>2050.70671378</v>
      </c>
      <c r="C23" s="28">
        <v>786.63077181599999</v>
      </c>
      <c r="D23" s="1">
        <f t="shared" si="0"/>
        <v>2837.3374855960001</v>
      </c>
      <c r="E23" s="1">
        <f t="shared" si="1"/>
        <v>72.27574175404223</v>
      </c>
      <c r="F23" s="1">
        <f t="shared" si="2"/>
        <v>27.72425824595777</v>
      </c>
      <c r="G23" s="1">
        <v>210.199535242</v>
      </c>
      <c r="H23" s="25">
        <f t="shared" si="3"/>
        <v>7.4083374399096652E-2</v>
      </c>
      <c r="I23" s="26">
        <f t="shared" si="4"/>
        <v>0.10250102261310011</v>
      </c>
    </row>
    <row r="24" spans="1:9" x14ac:dyDescent="0.25">
      <c r="A24" s="24">
        <v>2045</v>
      </c>
      <c r="B24" s="28">
        <v>2273.3952682899999</v>
      </c>
      <c r="C24" s="28">
        <v>817.78135038000005</v>
      </c>
      <c r="D24" s="1">
        <f t="shared" si="0"/>
        <v>3091.1766186699997</v>
      </c>
      <c r="E24" s="1">
        <f t="shared" si="1"/>
        <v>73.544657867790932</v>
      </c>
      <c r="F24" s="1">
        <f t="shared" si="2"/>
        <v>26.455342132209068</v>
      </c>
      <c r="G24" s="1">
        <v>243.45587689999999</v>
      </c>
      <c r="H24" s="25">
        <f t="shared" si="3"/>
        <v>7.8758319867451826E-2</v>
      </c>
      <c r="I24" s="26">
        <f t="shared" si="4"/>
        <v>0.10708911041374797</v>
      </c>
    </row>
    <row r="25" spans="1:9" x14ac:dyDescent="0.25">
      <c r="A25" s="24">
        <v>2046</v>
      </c>
      <c r="B25" s="28">
        <v>2498.5023284099998</v>
      </c>
      <c r="C25" s="28">
        <v>850.16549185500003</v>
      </c>
      <c r="D25" s="1">
        <f t="shared" si="0"/>
        <v>3348.667820265</v>
      </c>
      <c r="E25" s="1">
        <f t="shared" si="1"/>
        <v>74.611829614448851</v>
      </c>
      <c r="F25" s="1">
        <f t="shared" si="2"/>
        <v>25.388170385551149</v>
      </c>
      <c r="G25" s="1">
        <v>209.171056566</v>
      </c>
      <c r="H25" s="25">
        <f t="shared" si="3"/>
        <v>6.2463961131100504E-2</v>
      </c>
      <c r="I25" s="26">
        <f t="shared" si="4"/>
        <v>8.3718575799412026E-2</v>
      </c>
    </row>
    <row r="26" spans="1:9" x14ac:dyDescent="0.25">
      <c r="A26" s="24">
        <v>2047</v>
      </c>
      <c r="B26" s="28">
        <v>2732.3532164799999</v>
      </c>
      <c r="C26" s="28">
        <v>883.832045333</v>
      </c>
      <c r="D26" s="1">
        <f t="shared" si="0"/>
        <v>3616.1852618129997</v>
      </c>
      <c r="E26" s="1">
        <f t="shared" si="1"/>
        <v>75.558994317401641</v>
      </c>
      <c r="F26" s="1">
        <f t="shared" si="2"/>
        <v>24.441005682598359</v>
      </c>
      <c r="G26" s="1">
        <v>189.25323739300001</v>
      </c>
      <c r="H26" s="25">
        <f t="shared" si="3"/>
        <v>5.2335050250748652E-2</v>
      </c>
      <c r="I26" s="26">
        <f t="shared" si="4"/>
        <v>6.9263825866850662E-2</v>
      </c>
    </row>
    <row r="27" spans="1:9" x14ac:dyDescent="0.25">
      <c r="A27" s="24">
        <v>2048</v>
      </c>
      <c r="B27" s="28">
        <v>2999.3190274499998</v>
      </c>
      <c r="C27" s="28">
        <v>918.831794328</v>
      </c>
      <c r="D27" s="1">
        <f t="shared" si="0"/>
        <v>3918.1508217779997</v>
      </c>
      <c r="E27" s="1">
        <f t="shared" si="1"/>
        <v>76.549351055581681</v>
      </c>
      <c r="F27" s="1">
        <f t="shared" si="2"/>
        <v>23.450648944418319</v>
      </c>
      <c r="G27" s="1">
        <v>232.92338362300001</v>
      </c>
      <c r="H27" s="25">
        <f t="shared" si="3"/>
        <v>5.9447273527184638E-2</v>
      </c>
      <c r="I27" s="26">
        <f t="shared" si="4"/>
        <v>7.7658755701299917E-2</v>
      </c>
    </row>
    <row r="28" spans="1:9" x14ac:dyDescent="0.25">
      <c r="A28" s="24">
        <v>2049</v>
      </c>
      <c r="B28" s="28">
        <v>3298.8416446299998</v>
      </c>
      <c r="C28" s="28">
        <v>955.21753338400003</v>
      </c>
      <c r="D28" s="1">
        <f t="shared" si="0"/>
        <v>4254.0591780140003</v>
      </c>
      <c r="E28" s="1">
        <f t="shared" si="1"/>
        <v>77.545739412352461</v>
      </c>
      <c r="F28" s="1">
        <f t="shared" si="2"/>
        <v>22.454260587647539</v>
      </c>
      <c r="G28" s="1">
        <v>282.70273398</v>
      </c>
      <c r="H28" s="25">
        <f t="shared" si="3"/>
        <v>6.6454819303190624E-2</v>
      </c>
      <c r="I28" s="26">
        <f t="shared" si="4"/>
        <v>8.5697576432683886E-2</v>
      </c>
    </row>
    <row r="29" spans="1:9" x14ac:dyDescent="0.25">
      <c r="A29" s="24">
        <v>2050</v>
      </c>
      <c r="B29" s="28">
        <v>993.044147705</v>
      </c>
      <c r="C29" s="28">
        <v>993.044147705</v>
      </c>
      <c r="D29" s="1">
        <f t="shared" si="0"/>
        <v>1986.08829541</v>
      </c>
      <c r="E29" s="1">
        <f t="shared" si="1"/>
        <v>50</v>
      </c>
      <c r="F29" s="1">
        <f t="shared" si="2"/>
        <v>50</v>
      </c>
      <c r="G29" s="1">
        <v>338.45913042500001</v>
      </c>
      <c r="H29" s="27">
        <f t="shared" si="3"/>
        <v>0.1704149464085784</v>
      </c>
      <c r="I29" s="26">
        <f t="shared" si="4"/>
        <v>0.34082989281715681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A7B2-52C7-4822-8B72-3DBAC85FA445}">
  <dimension ref="A1:I29"/>
  <sheetViews>
    <sheetView tabSelected="1" workbookViewId="0">
      <selection sqref="A1:XFD1048576"/>
    </sheetView>
  </sheetViews>
  <sheetFormatPr defaultRowHeight="15" x14ac:dyDescent="0.25"/>
  <cols>
    <col min="2" max="2" width="9.5703125" customWidth="1"/>
    <col min="3" max="3" width="11.42578125" customWidth="1"/>
    <col min="4" max="4" width="12.28515625" customWidth="1"/>
    <col min="5" max="5" width="17.5703125" customWidth="1"/>
    <col min="6" max="6" width="17.42578125" customWidth="1"/>
    <col min="7" max="7" width="13.42578125" customWidth="1"/>
    <col min="8" max="8" width="23.42578125" customWidth="1"/>
    <col min="9" max="9" width="19.85546875" customWidth="1"/>
  </cols>
  <sheetData>
    <row r="1" spans="1:9" ht="45" x14ac:dyDescent="0.25">
      <c r="A1" s="21" t="s">
        <v>0</v>
      </c>
      <c r="B1" s="22" t="s">
        <v>26</v>
      </c>
      <c r="C1" s="22" t="s">
        <v>27</v>
      </c>
      <c r="D1" s="22" t="s">
        <v>28</v>
      </c>
      <c r="E1" s="23" t="s">
        <v>29</v>
      </c>
      <c r="F1" s="23" t="s">
        <v>30</v>
      </c>
      <c r="G1" s="22" t="s">
        <v>31</v>
      </c>
      <c r="H1" s="23" t="s">
        <v>32</v>
      </c>
      <c r="I1" s="23" t="s">
        <v>33</v>
      </c>
    </row>
    <row r="2" spans="1:9" x14ac:dyDescent="0.25">
      <c r="A2" s="24">
        <v>2023</v>
      </c>
      <c r="B2" s="1">
        <v>300</v>
      </c>
      <c r="C2" s="1">
        <v>348</v>
      </c>
      <c r="D2" s="1">
        <f>B2+C2</f>
        <v>648</v>
      </c>
      <c r="E2" s="1">
        <f>B2*100/D2</f>
        <v>46.296296296296298</v>
      </c>
      <c r="F2" s="1">
        <f>100-E2</f>
        <v>53.703703703703702</v>
      </c>
      <c r="G2" s="1">
        <v>28.4525389125</v>
      </c>
      <c r="H2" s="25">
        <f>G2/D2</f>
        <v>4.39082390625E-2</v>
      </c>
      <c r="I2" s="26">
        <f>G2/B2</f>
        <v>9.4841796374999995E-2</v>
      </c>
    </row>
    <row r="3" spans="1:9" x14ac:dyDescent="0.25">
      <c r="A3" s="24">
        <v>2024</v>
      </c>
      <c r="B3" s="1">
        <v>716.56458802199995</v>
      </c>
      <c r="C3" s="1">
        <v>361.7808</v>
      </c>
      <c r="D3" s="1">
        <f t="shared" ref="D3:D29" si="0">B3+C3</f>
        <v>1078.345388022</v>
      </c>
      <c r="E3" s="1">
        <f t="shared" ref="E3:E29" si="1">B3*100/D3</f>
        <v>66.450378142423219</v>
      </c>
      <c r="F3" s="1">
        <f t="shared" ref="F3:F29" si="2">100-E3</f>
        <v>33.549621857576781</v>
      </c>
      <c r="G3" s="1">
        <v>35.126596102199997</v>
      </c>
      <c r="H3" s="25">
        <f t="shared" ref="H3:H29" si="3">G3/D3</f>
        <v>3.2574531770968501E-2</v>
      </c>
      <c r="I3" s="26">
        <f t="shared" ref="I3:I29" si="4">G3/B3</f>
        <v>4.9020837324885415E-2</v>
      </c>
    </row>
    <row r="4" spans="1:9" x14ac:dyDescent="0.25">
      <c r="A4" s="24">
        <v>2025</v>
      </c>
      <c r="B4" s="1">
        <v>900.74432202699995</v>
      </c>
      <c r="C4" s="1">
        <v>376.10731967999999</v>
      </c>
      <c r="D4" s="1">
        <f t="shared" si="0"/>
        <v>1276.851641707</v>
      </c>
      <c r="E4" s="1">
        <f t="shared" si="1"/>
        <v>70.544164459295459</v>
      </c>
      <c r="F4" s="1">
        <f t="shared" si="2"/>
        <v>29.455835540704541</v>
      </c>
      <c r="G4" s="1">
        <v>39.797347456499999</v>
      </c>
      <c r="H4" s="25">
        <f t="shared" si="3"/>
        <v>3.116834106372424E-2</v>
      </c>
      <c r="I4" s="26">
        <f t="shared" si="4"/>
        <v>4.4182734748681618E-2</v>
      </c>
    </row>
    <row r="5" spans="1:9" x14ac:dyDescent="0.25">
      <c r="A5" s="24">
        <v>2026</v>
      </c>
      <c r="B5" s="1">
        <v>1133.2944912299999</v>
      </c>
      <c r="C5" s="1">
        <v>391.00116953899999</v>
      </c>
      <c r="D5" s="1">
        <f t="shared" si="0"/>
        <v>1524.2956607689998</v>
      </c>
      <c r="E5" s="1">
        <f t="shared" si="1"/>
        <v>74.34873170591186</v>
      </c>
      <c r="F5" s="1">
        <f t="shared" si="2"/>
        <v>25.65126829408814</v>
      </c>
      <c r="G5" s="1">
        <v>47.324684018500001</v>
      </c>
      <c r="H5" s="25">
        <f t="shared" si="3"/>
        <v>3.104691906990336E-2</v>
      </c>
      <c r="I5" s="26">
        <f t="shared" si="4"/>
        <v>4.1758505300009921E-2</v>
      </c>
    </row>
    <row r="6" spans="1:9" x14ac:dyDescent="0.25">
      <c r="A6" s="24">
        <v>2027</v>
      </c>
      <c r="B6" s="1">
        <v>1380.1077374700001</v>
      </c>
      <c r="C6" s="1">
        <v>406.48481585299999</v>
      </c>
      <c r="D6" s="1">
        <f t="shared" si="0"/>
        <v>1786.5925533230002</v>
      </c>
      <c r="E6" s="1">
        <f t="shared" si="1"/>
        <v>77.248040405354175</v>
      </c>
      <c r="F6" s="1">
        <f t="shared" si="2"/>
        <v>22.751959594645825</v>
      </c>
      <c r="G6" s="1">
        <v>51.442593665799997</v>
      </c>
      <c r="H6" s="25">
        <f t="shared" si="3"/>
        <v>2.8793690855880127E-2</v>
      </c>
      <c r="I6" s="26">
        <f t="shared" si="4"/>
        <v>3.7274331756232348E-2</v>
      </c>
    </row>
    <row r="7" spans="1:9" x14ac:dyDescent="0.25">
      <c r="A7" s="24">
        <v>2028</v>
      </c>
      <c r="B7" s="1">
        <v>1645.83506414</v>
      </c>
      <c r="C7" s="1">
        <v>422.58161456099998</v>
      </c>
      <c r="D7" s="1">
        <f t="shared" si="0"/>
        <v>2068.4166787009999</v>
      </c>
      <c r="E7" s="1">
        <f t="shared" si="1"/>
        <v>79.569802404301427</v>
      </c>
      <c r="F7" s="1">
        <f t="shared" si="2"/>
        <v>20.430197595698573</v>
      </c>
      <c r="G7" s="1">
        <v>54.581440725299998</v>
      </c>
      <c r="H7" s="25">
        <f t="shared" si="3"/>
        <v>2.6388029688282175E-2</v>
      </c>
      <c r="I7" s="26">
        <f t="shared" si="4"/>
        <v>3.3163372147391026E-2</v>
      </c>
    </row>
    <row r="8" spans="1:9" x14ac:dyDescent="0.25">
      <c r="A8" s="24">
        <v>2029</v>
      </c>
      <c r="B8" s="1">
        <v>1957.76235776</v>
      </c>
      <c r="C8" s="1">
        <v>439.315846497</v>
      </c>
      <c r="D8" s="1">
        <f t="shared" si="0"/>
        <v>2397.0782042569999</v>
      </c>
      <c r="E8" s="1">
        <f t="shared" si="1"/>
        <v>81.67286133106488</v>
      </c>
      <c r="F8" s="1">
        <f t="shared" si="2"/>
        <v>18.32713866893512</v>
      </c>
      <c r="G8" s="1">
        <v>60.738680754999997</v>
      </c>
      <c r="H8" s="25">
        <f t="shared" si="3"/>
        <v>2.533863127499697E-2</v>
      </c>
      <c r="I8" s="26">
        <f t="shared" si="4"/>
        <v>3.1024542133139679E-2</v>
      </c>
    </row>
    <row r="9" spans="1:9" x14ac:dyDescent="0.25">
      <c r="A9" s="24">
        <v>2030</v>
      </c>
      <c r="B9" s="1">
        <v>2332.0130967199998</v>
      </c>
      <c r="C9" s="1">
        <v>456.71275401899999</v>
      </c>
      <c r="D9" s="1">
        <f t="shared" si="0"/>
        <v>2788.7258507389997</v>
      </c>
      <c r="E9" s="1">
        <f t="shared" si="1"/>
        <v>83.622888069188548</v>
      </c>
      <c r="F9" s="1">
        <f t="shared" si="2"/>
        <v>16.377111930811452</v>
      </c>
      <c r="G9" s="1">
        <v>65.879549724399993</v>
      </c>
      <c r="H9" s="25">
        <f t="shared" si="3"/>
        <v>2.3623530332657908E-2</v>
      </c>
      <c r="I9" s="26">
        <f t="shared" si="4"/>
        <v>2.8250077075922194E-2</v>
      </c>
    </row>
    <row r="10" spans="1:9" x14ac:dyDescent="0.25">
      <c r="A10" s="24">
        <v>2031</v>
      </c>
      <c r="B10" s="1">
        <v>1399.2078580299999</v>
      </c>
      <c r="C10" s="1">
        <v>474.79857907799999</v>
      </c>
      <c r="D10" s="1">
        <f t="shared" si="0"/>
        <v>1874.0064371079998</v>
      </c>
      <c r="E10" s="1">
        <f t="shared" si="1"/>
        <v>74.663983555429098</v>
      </c>
      <c r="F10" s="1">
        <f t="shared" si="2"/>
        <v>25.336016444570902</v>
      </c>
      <c r="G10" s="1">
        <v>75.074812417800004</v>
      </c>
      <c r="H10" s="25">
        <f t="shared" si="3"/>
        <v>4.0061128356451536E-2</v>
      </c>
      <c r="I10" s="26">
        <f t="shared" si="4"/>
        <v>5.3655224981012328E-2</v>
      </c>
    </row>
    <row r="11" spans="1:9" x14ac:dyDescent="0.25">
      <c r="A11" s="24">
        <v>2032</v>
      </c>
      <c r="B11" s="1">
        <v>1399.2078580299999</v>
      </c>
      <c r="C11" s="1">
        <v>493.60060280900001</v>
      </c>
      <c r="D11" s="1">
        <f t="shared" si="0"/>
        <v>1892.808460839</v>
      </c>
      <c r="E11" s="1">
        <f t="shared" si="1"/>
        <v>73.922316334627524</v>
      </c>
      <c r="F11" s="1">
        <f t="shared" si="2"/>
        <v>26.077683665372476</v>
      </c>
      <c r="G11" s="1">
        <v>97.034316194499993</v>
      </c>
      <c r="H11" s="25">
        <f t="shared" si="3"/>
        <v>5.1264730796632685E-2</v>
      </c>
      <c r="I11" s="26">
        <f t="shared" si="4"/>
        <v>6.9349464868728256E-2</v>
      </c>
    </row>
    <row r="12" spans="1:9" x14ac:dyDescent="0.25">
      <c r="A12" s="24">
        <v>2033</v>
      </c>
      <c r="B12" s="1">
        <v>1399.2078580299999</v>
      </c>
      <c r="C12" s="1">
        <v>513.14718668099999</v>
      </c>
      <c r="D12" s="1">
        <f t="shared" si="0"/>
        <v>1912.3550447109999</v>
      </c>
      <c r="E12" s="1">
        <f t="shared" si="1"/>
        <v>73.166740762903245</v>
      </c>
      <c r="F12" s="1">
        <f t="shared" si="2"/>
        <v>26.833259237096755</v>
      </c>
      <c r="G12" s="1">
        <v>107.06046517</v>
      </c>
      <c r="H12" s="25">
        <f t="shared" si="3"/>
        <v>5.5983571390729514E-2</v>
      </c>
      <c r="I12" s="26">
        <f t="shared" si="4"/>
        <v>7.6515054254151102E-2</v>
      </c>
    </row>
    <row r="13" spans="1:9" x14ac:dyDescent="0.25">
      <c r="A13" s="24">
        <v>2034</v>
      </c>
      <c r="B13" s="1">
        <v>1399.2078580299999</v>
      </c>
      <c r="C13" s="1">
        <v>533.46781527300004</v>
      </c>
      <c r="D13" s="1">
        <f t="shared" si="0"/>
        <v>1932.6756733029999</v>
      </c>
      <c r="E13" s="1">
        <f t="shared" si="1"/>
        <v>72.397447608926129</v>
      </c>
      <c r="F13" s="1">
        <f t="shared" si="2"/>
        <v>27.602552391073871</v>
      </c>
      <c r="G13" s="1">
        <v>179.04471287300001</v>
      </c>
      <c r="H13" s="25">
        <f t="shared" si="3"/>
        <v>9.2640847787465189E-2</v>
      </c>
      <c r="I13" s="26">
        <f t="shared" si="4"/>
        <v>0.12796148323886927</v>
      </c>
    </row>
    <row r="14" spans="1:9" x14ac:dyDescent="0.25">
      <c r="A14" s="24">
        <v>2035</v>
      </c>
      <c r="B14" s="1">
        <v>1399.2078580299999</v>
      </c>
      <c r="C14" s="1">
        <v>554.593140758</v>
      </c>
      <c r="D14" s="1">
        <f t="shared" si="0"/>
        <v>1953.800998788</v>
      </c>
      <c r="E14" s="1">
        <f t="shared" si="1"/>
        <v>71.61465568386798</v>
      </c>
      <c r="F14" s="1">
        <f t="shared" si="2"/>
        <v>28.38534431613202</v>
      </c>
      <c r="G14" s="1">
        <v>177.23001759300001</v>
      </c>
      <c r="H14" s="25">
        <f t="shared" si="3"/>
        <v>9.0710373115246115E-2</v>
      </c>
      <c r="I14" s="26">
        <f t="shared" si="4"/>
        <v>0.12666453849289352</v>
      </c>
    </row>
    <row r="15" spans="1:9" x14ac:dyDescent="0.25">
      <c r="A15" s="24">
        <v>2036</v>
      </c>
      <c r="B15" s="1">
        <v>1399.2078580299999</v>
      </c>
      <c r="C15" s="1">
        <v>576.55502913199996</v>
      </c>
      <c r="D15" s="1">
        <f t="shared" si="0"/>
        <v>1975.762887162</v>
      </c>
      <c r="E15" s="1">
        <f t="shared" si="1"/>
        <v>70.818612249561582</v>
      </c>
      <c r="F15" s="1">
        <f t="shared" si="2"/>
        <v>29.181387750438418</v>
      </c>
      <c r="G15" s="1">
        <v>171.83518234600001</v>
      </c>
      <c r="H15" s="25">
        <f t="shared" si="3"/>
        <v>8.6971560941113385E-2</v>
      </c>
      <c r="I15" s="26">
        <f t="shared" si="4"/>
        <v>0.12280890316606252</v>
      </c>
    </row>
    <row r="16" spans="1:9" x14ac:dyDescent="0.25">
      <c r="A16" s="24">
        <v>2037</v>
      </c>
      <c r="B16" s="1">
        <v>1399.2078580299999</v>
      </c>
      <c r="C16" s="1">
        <v>599.38660828599996</v>
      </c>
      <c r="D16" s="1">
        <f t="shared" si="0"/>
        <v>1998.5944663159999</v>
      </c>
      <c r="E16" s="1">
        <f t="shared" si="1"/>
        <v>70.009593322308817</v>
      </c>
      <c r="F16" s="1">
        <f t="shared" si="2"/>
        <v>29.990406677691183</v>
      </c>
      <c r="G16" s="1">
        <v>169.069493951</v>
      </c>
      <c r="H16" s="25">
        <f t="shared" si="3"/>
        <v>8.4594196972157656E-2</v>
      </c>
      <c r="I16" s="26">
        <f t="shared" si="4"/>
        <v>0.12083229305833061</v>
      </c>
    </row>
    <row r="17" spans="1:9" x14ac:dyDescent="0.25">
      <c r="A17" s="24">
        <v>2038</v>
      </c>
      <c r="B17" s="1">
        <v>1399.2078580299999</v>
      </c>
      <c r="C17" s="1">
        <v>623.122317974</v>
      </c>
      <c r="D17" s="1">
        <f t="shared" si="0"/>
        <v>2022.3301760039999</v>
      </c>
      <c r="E17" s="1">
        <f t="shared" si="1"/>
        <v>69.187903866160397</v>
      </c>
      <c r="F17" s="1">
        <f t="shared" si="2"/>
        <v>30.812096133839603</v>
      </c>
      <c r="G17" s="1">
        <v>169.024822003</v>
      </c>
      <c r="H17" s="25">
        <f t="shared" si="3"/>
        <v>8.3579241415950509E-2</v>
      </c>
      <c r="I17" s="26">
        <f t="shared" si="4"/>
        <v>0.12080036645947424</v>
      </c>
    </row>
    <row r="18" spans="1:9" x14ac:dyDescent="0.25">
      <c r="A18" s="24">
        <v>2039</v>
      </c>
      <c r="B18" s="1">
        <v>1399.2078580299999</v>
      </c>
      <c r="C18" s="1">
        <v>647.79796176599996</v>
      </c>
      <c r="D18" s="1">
        <f t="shared" si="0"/>
        <v>2047.0058197959997</v>
      </c>
      <c r="E18" s="1">
        <f t="shared" si="1"/>
        <v>68.353877868771363</v>
      </c>
      <c r="F18" s="1">
        <f t="shared" si="2"/>
        <v>31.646122131228637</v>
      </c>
      <c r="G18" s="1">
        <v>168.503848215</v>
      </c>
      <c r="H18" s="25">
        <f t="shared" si="3"/>
        <v>8.2317229675386433E-2</v>
      </c>
      <c r="I18" s="26">
        <f t="shared" si="4"/>
        <v>0.12042803165231164</v>
      </c>
    </row>
    <row r="19" spans="1:9" x14ac:dyDescent="0.25">
      <c r="A19" s="24">
        <v>2040</v>
      </c>
      <c r="B19" s="1">
        <v>1665.6173318599999</v>
      </c>
      <c r="C19" s="1">
        <v>673.45076105099997</v>
      </c>
      <c r="D19" s="1">
        <f t="shared" si="0"/>
        <v>2339.0680929109999</v>
      </c>
      <c r="E19" s="1">
        <f t="shared" si="1"/>
        <v>71.208586740504771</v>
      </c>
      <c r="F19" s="1">
        <f t="shared" si="2"/>
        <v>28.791413259495229</v>
      </c>
      <c r="G19" s="1">
        <v>173.36336918200001</v>
      </c>
      <c r="H19" s="25">
        <f t="shared" si="3"/>
        <v>7.4116426839992977E-2</v>
      </c>
      <c r="I19" s="26">
        <f t="shared" si="4"/>
        <v>0.10408355260593057</v>
      </c>
    </row>
    <row r="20" spans="1:9" x14ac:dyDescent="0.25">
      <c r="A20" s="24">
        <v>2041</v>
      </c>
      <c r="B20" s="1">
        <v>1942.4450532799999</v>
      </c>
      <c r="C20" s="1">
        <v>700.11941118899995</v>
      </c>
      <c r="D20" s="1">
        <f t="shared" si="0"/>
        <v>2642.5644644690001</v>
      </c>
      <c r="E20" s="1">
        <f t="shared" si="1"/>
        <v>73.506061229439752</v>
      </c>
      <c r="F20" s="1">
        <f t="shared" si="2"/>
        <v>26.493938770560248</v>
      </c>
      <c r="G20" s="1">
        <v>182.41547841299999</v>
      </c>
      <c r="H20" s="25">
        <f t="shared" si="3"/>
        <v>6.902971748303395E-2</v>
      </c>
      <c r="I20" s="26">
        <f t="shared" si="4"/>
        <v>9.3910238595925483E-2</v>
      </c>
    </row>
    <row r="21" spans="1:9" x14ac:dyDescent="0.25">
      <c r="A21" s="24">
        <v>2042</v>
      </c>
      <c r="B21" s="1">
        <v>2236.0163868700001</v>
      </c>
      <c r="C21" s="1">
        <v>727.84413987200003</v>
      </c>
      <c r="D21" s="1">
        <f t="shared" si="0"/>
        <v>2963.8605267420003</v>
      </c>
      <c r="E21" s="1">
        <f t="shared" si="1"/>
        <v>75.44269936777097</v>
      </c>
      <c r="F21" s="1">
        <f t="shared" si="2"/>
        <v>24.55730063222903</v>
      </c>
      <c r="G21" s="1">
        <v>195.400911493</v>
      </c>
      <c r="H21" s="25">
        <f t="shared" si="3"/>
        <v>6.5927836256111844E-2</v>
      </c>
      <c r="I21" s="26">
        <f t="shared" si="4"/>
        <v>8.7387960410488894E-2</v>
      </c>
    </row>
    <row r="22" spans="1:9" x14ac:dyDescent="0.25">
      <c r="A22" s="24">
        <v>2043</v>
      </c>
      <c r="B22" s="1">
        <v>2574.9815134999999</v>
      </c>
      <c r="C22" s="1">
        <v>756.666767811</v>
      </c>
      <c r="D22" s="1">
        <f t="shared" si="0"/>
        <v>3331.6482813109997</v>
      </c>
      <c r="E22" s="1">
        <f t="shared" si="1"/>
        <v>77.288515956034459</v>
      </c>
      <c r="F22" s="1">
        <f t="shared" si="2"/>
        <v>22.711484043965541</v>
      </c>
      <c r="G22" s="1">
        <v>216.28408343300001</v>
      </c>
      <c r="H22" s="25">
        <f t="shared" si="3"/>
        <v>6.4918042113344718E-2</v>
      </c>
      <c r="I22" s="26">
        <f t="shared" si="4"/>
        <v>8.3994421823642348E-2</v>
      </c>
    </row>
    <row r="23" spans="1:9" x14ac:dyDescent="0.25">
      <c r="A23" s="24">
        <v>2044</v>
      </c>
      <c r="B23" s="1">
        <v>1986.4166170200001</v>
      </c>
      <c r="C23" s="1">
        <v>786.63077181599999</v>
      </c>
      <c r="D23" s="1">
        <f t="shared" si="0"/>
        <v>2773.0473888360002</v>
      </c>
      <c r="E23" s="1">
        <f t="shared" si="1"/>
        <v>71.6329848893714</v>
      </c>
      <c r="F23" s="1">
        <f t="shared" si="2"/>
        <v>28.3670151106286</v>
      </c>
      <c r="G23" s="1">
        <v>234.874114951</v>
      </c>
      <c r="H23" s="25">
        <f t="shared" si="3"/>
        <v>8.4698918560345809E-2</v>
      </c>
      <c r="I23" s="26">
        <f t="shared" si="4"/>
        <v>0.11824010780948636</v>
      </c>
    </row>
    <row r="24" spans="1:9" x14ac:dyDescent="0.25">
      <c r="A24" s="24">
        <v>2045</v>
      </c>
      <c r="B24" s="1">
        <v>2036.6001883399999</v>
      </c>
      <c r="C24" s="1">
        <v>817.78135038000005</v>
      </c>
      <c r="D24" s="1">
        <f t="shared" si="0"/>
        <v>2854.3815387200002</v>
      </c>
      <c r="E24" s="1">
        <f t="shared" si="1"/>
        <v>71.349963581017249</v>
      </c>
      <c r="F24" s="1">
        <f t="shared" si="2"/>
        <v>28.650036418982751</v>
      </c>
      <c r="G24" s="1">
        <v>275.12175068200003</v>
      </c>
      <c r="H24" s="25">
        <f t="shared" si="3"/>
        <v>9.6385765865545009E-2</v>
      </c>
      <c r="I24" s="26">
        <f t="shared" si="4"/>
        <v>0.13508873870145682</v>
      </c>
    </row>
    <row r="25" spans="1:9" x14ac:dyDescent="0.25">
      <c r="A25" s="24">
        <v>2046</v>
      </c>
      <c r="B25" s="1">
        <v>2019.2689730300001</v>
      </c>
      <c r="C25" s="1">
        <v>850.16549185500003</v>
      </c>
      <c r="D25" s="1">
        <f t="shared" si="0"/>
        <v>2869.4344648850001</v>
      </c>
      <c r="E25" s="1">
        <f t="shared" si="1"/>
        <v>70.371670715641429</v>
      </c>
      <c r="F25" s="1">
        <f t="shared" si="2"/>
        <v>29.628329284358571</v>
      </c>
      <c r="G25" s="1">
        <v>249.05981975899999</v>
      </c>
      <c r="H25" s="25">
        <f t="shared" si="3"/>
        <v>8.67975285049703E-2</v>
      </c>
      <c r="I25" s="26">
        <f t="shared" si="4"/>
        <v>0.12334157711801762</v>
      </c>
    </row>
    <row r="26" spans="1:9" x14ac:dyDescent="0.25">
      <c r="A26" s="24">
        <v>2047</v>
      </c>
      <c r="B26" s="1">
        <v>2016.3029516500001</v>
      </c>
      <c r="C26" s="1">
        <v>883.832045333</v>
      </c>
      <c r="D26" s="1">
        <f t="shared" si="0"/>
        <v>2900.1349969829998</v>
      </c>
      <c r="E26" s="1">
        <f t="shared" si="1"/>
        <v>69.524451577169785</v>
      </c>
      <c r="F26" s="1">
        <f t="shared" si="2"/>
        <v>30.475548422830215</v>
      </c>
      <c r="G26" s="1">
        <v>238.61644324700001</v>
      </c>
      <c r="H26" s="25">
        <f t="shared" si="3"/>
        <v>8.2277702070845615E-2</v>
      </c>
      <c r="I26" s="26">
        <f t="shared" si="4"/>
        <v>0.11834354706059085</v>
      </c>
    </row>
    <row r="27" spans="1:9" x14ac:dyDescent="0.25">
      <c r="A27" s="24">
        <v>2048</v>
      </c>
      <c r="B27" s="1">
        <v>2076.8292699200001</v>
      </c>
      <c r="C27" s="1">
        <v>918.831794328</v>
      </c>
      <c r="D27" s="1">
        <f t="shared" si="0"/>
        <v>2995.661064248</v>
      </c>
      <c r="E27" s="1">
        <f t="shared" si="1"/>
        <v>69.327912116164114</v>
      </c>
      <c r="F27" s="1">
        <f t="shared" si="2"/>
        <v>30.672087883835886</v>
      </c>
      <c r="G27" s="1">
        <v>292.96882409400001</v>
      </c>
      <c r="H27" s="25">
        <f t="shared" si="3"/>
        <v>9.7797720706946492E-2</v>
      </c>
      <c r="I27" s="26">
        <f t="shared" si="4"/>
        <v>0.14106543486132841</v>
      </c>
    </row>
    <row r="28" spans="1:9" x14ac:dyDescent="0.25">
      <c r="A28" s="24">
        <v>2049</v>
      </c>
      <c r="B28" s="1">
        <v>2143.18909072</v>
      </c>
      <c r="C28" s="1">
        <v>955.21753338400003</v>
      </c>
      <c r="D28" s="1">
        <f t="shared" si="0"/>
        <v>3098.406624104</v>
      </c>
      <c r="E28" s="1">
        <f t="shared" si="1"/>
        <v>69.170685153042797</v>
      </c>
      <c r="F28" s="1">
        <f t="shared" si="2"/>
        <v>30.829314846957203</v>
      </c>
      <c r="G28" s="1">
        <v>354.510175285</v>
      </c>
      <c r="H28" s="25">
        <f t="shared" si="3"/>
        <v>0.11441693047229318</v>
      </c>
      <c r="I28" s="26">
        <f t="shared" si="4"/>
        <v>0.16541245792078152</v>
      </c>
    </row>
    <row r="29" spans="1:9" x14ac:dyDescent="0.25">
      <c r="A29" s="24">
        <v>2050</v>
      </c>
      <c r="B29" s="1">
        <v>2214.9641084599998</v>
      </c>
      <c r="C29" s="1">
        <v>993.044147705</v>
      </c>
      <c r="D29" s="1">
        <f t="shared" si="0"/>
        <v>3208.0082561649997</v>
      </c>
      <c r="E29" s="1">
        <f t="shared" si="1"/>
        <v>69.044838154745577</v>
      </c>
      <c r="F29" s="1">
        <f t="shared" si="2"/>
        <v>30.955161845254423</v>
      </c>
      <c r="G29" s="1">
        <v>422.87631337300002</v>
      </c>
      <c r="H29" s="25">
        <f t="shared" si="3"/>
        <v>0.13181896042827701</v>
      </c>
      <c r="I29" s="26">
        <f t="shared" si="4"/>
        <v>0.19091790777007833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 CdTe PV Production</vt:lpstr>
      <vt:lpstr>Low Demand Sc. Results</vt:lpstr>
      <vt:lpstr>High Demand Sc. Results</vt:lpstr>
      <vt:lpstr>BaU Demand Sc. Results</vt:lpstr>
      <vt:lpstr>Recycling Results_LDS</vt:lpstr>
      <vt:lpstr>Recycling Results_BaU</vt:lpstr>
      <vt:lpstr>Recycling Results_HDS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Hanna, Francis</cp:lastModifiedBy>
  <dcterms:created xsi:type="dcterms:W3CDTF">2022-09-10T15:48:15Z</dcterms:created>
  <dcterms:modified xsi:type="dcterms:W3CDTF">2023-10-29T00:53:11Z</dcterms:modified>
</cp:coreProperties>
</file>