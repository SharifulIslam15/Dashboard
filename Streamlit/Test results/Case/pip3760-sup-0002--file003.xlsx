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ropbox\MSU_Francis\NSF\Work_Francis\3- System Dynamics Model\Working\Manuscript\Submission Folder\7- Supporting Documents\"/>
    </mc:Choice>
  </mc:AlternateContent>
  <xr:revisionPtr revIDLastSave="0" documentId="13_ncr:1_{71BDD013-998C-41D9-B144-072820570A7F}" xr6:coauthVersionLast="47" xr6:coauthVersionMax="47" xr10:uidLastSave="{00000000-0000-0000-0000-000000000000}"/>
  <bookViews>
    <workbookView xWindow="-120" yWindow="-120" windowWidth="51840" windowHeight="21120" xr2:uid="{1830BD40-AB7F-463C-AC26-07A5C929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<sst xmlns="http://schemas.openxmlformats.org/spreadsheetml/2006/main" count="48" uniqueCount="12">
  <si>
    <t>Sensitivity of Tellurium Price</t>
  </si>
  <si>
    <t>Low Demand</t>
  </si>
  <si>
    <t>Baseline</t>
  </si>
  <si>
    <t>High Demand</t>
  </si>
  <si>
    <t>Direct Mining Growth Rate 2.5 +/- 0.25 %</t>
  </si>
  <si>
    <t>Sensitivity of Supply Gap Duration</t>
  </si>
  <si>
    <t>Sensitivity of CdTe PV Production</t>
  </si>
  <si>
    <t>Non-PV Demand Growth Rate 3.96 % +/- 0.396 %</t>
  </si>
  <si>
    <t>Change in Peak Te Price (2022-USD)</t>
  </si>
  <si>
    <t>Change in supply gap duration (years)</t>
  </si>
  <si>
    <t>Change in cumulative CdTe PV production (GWp)</t>
  </si>
  <si>
    <t>Tellurium in Copper Anodes 110 ppm +/- 11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</si>
</sst>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Tellurium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Sheet1!$F$4:$F$6</c:f>
              <c:numCache>
                <c:formatCode>General</c:formatCode>
                <c:ptCount val="3"/>
                <c:pt idx="0">
                  <c:v>-37.6</c:v>
                </c:pt>
                <c:pt idx="1">
                  <c:v>-103.36</c:v>
                </c:pt>
                <c:pt idx="2">
                  <c:v>-24.82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8-4C4F-B443-BEE8A3D8BC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42.73</c:v>
                </c:pt>
                <c:pt idx="1">
                  <c:v>112.84</c:v>
                </c:pt>
                <c:pt idx="2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8-4C4F-B443-BEE8A3D8B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</a:t>
                </a:r>
                <a:r>
                  <a:rPr lang="en-US" baseline="0"/>
                  <a:t> growth rate 3.96% +/- 0.396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peak tellurium price (2022-USD)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Tellurium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Sheet1!$J$4:$J$6</c:f>
              <c:numCache>
                <c:formatCode>General</c:formatCode>
                <c:ptCount val="3"/>
                <c:pt idx="0">
                  <c:v>-104</c:v>
                </c:pt>
                <c:pt idx="1">
                  <c:v>-180</c:v>
                </c:pt>
                <c:pt idx="2">
                  <c:v>-176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B-4E20-8605-87315B0A5C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Sheet1!$K$4:$K$6</c:f>
              <c:numCache>
                <c:formatCode>General</c:formatCode>
                <c:ptCount val="3"/>
                <c:pt idx="0">
                  <c:v>32</c:v>
                </c:pt>
                <c:pt idx="1">
                  <c:v>354</c:v>
                </c:pt>
                <c:pt idx="2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B-4E20-8605-87315B0A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Tellurium in Copper Anodes 110 ppm +/- 11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peak tellurium price (2022-USD)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Tellurium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0</c:v>
                </c:pt>
                <c:pt idx="1">
                  <c:v>-17</c:v>
                </c:pt>
                <c:pt idx="2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8-4B53-BC75-F1D2BCF46B0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8-4B53-BC75-F1D2BCF46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 Growth Rate 2.5 +/- 0.25 %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peak tellurium price (2022-USD)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Supply Gap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Sheet1!$F$10:$F$12</c:f>
              <c:numCache>
                <c:formatCode>General</c:formatCode>
                <c:ptCount val="3"/>
                <c:pt idx="0">
                  <c:v>-3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0-4C84-8B92-65FEA97371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Sheet1!$G$10:$G$12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0-4C84-8B92-65FEA9737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</a:t>
                </a:r>
                <a:r>
                  <a:rPr lang="en-US" baseline="0"/>
                  <a:t> growth rate 3.96% +/- 0.396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7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supply gap duration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Supply Gap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Sheet1!$J$10:$J$12</c:f>
              <c:numCache>
                <c:formatCode>General</c:formatCode>
                <c:ptCount val="3"/>
                <c:pt idx="0">
                  <c:v>-5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5-41D4-9D92-5F4354BD28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Sheet1!$K$10:$K$12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5-41D4-9D92-5F4354BD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Tellurium in Copper Anodes 110 ppm +/- 11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7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supply gap duration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Supply Gap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Sheet1!$B$10:$B$12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0-4B81-BE3F-69870585404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Sheet1!$A$10:$A$12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0-4B81-BE3F-698705854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Direct Mining Growth Rate 2.5 +/- 0.25 %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7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supply gap duration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CdTe PV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Sheet1!$F$16:$F$18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-26.5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B5C-9834-A821F51434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74.040000000000006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6-4B5C-9834-A821F5143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</a:t>
                </a:r>
                <a:r>
                  <a:rPr lang="en-US" baseline="0"/>
                  <a:t> growth rate 3.96% +/- 0.396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Cumulative CdTe PV Produced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CdTe PV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Sheet1!$J$16:$J$18</c:f>
              <c:numCache>
                <c:formatCode>General</c:formatCode>
                <c:ptCount val="3"/>
                <c:pt idx="0">
                  <c:v>-86.13</c:v>
                </c:pt>
                <c:pt idx="1">
                  <c:v>-178.5</c:v>
                </c:pt>
                <c:pt idx="2">
                  <c:v>-217.4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9-4008-B336-0ECBF07DF2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Sheet1!$K$16:$K$18</c:f>
              <c:numCache>
                <c:formatCode>General</c:formatCode>
                <c:ptCount val="3"/>
                <c:pt idx="0">
                  <c:v>34.26</c:v>
                </c:pt>
                <c:pt idx="1">
                  <c:v>221.5</c:v>
                </c:pt>
                <c:pt idx="2">
                  <c:v>228.85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9-4008-B336-0ECBF07DF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Tellurium in Copper Anodes 110 ppm +/- 11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Cumulative CdTe PV Produced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CdTe PV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7-4795-A21A-D09EF6B1487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Sheet1!$A$16:$A$18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Sheet1!$C$16:$C$18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7-4795-A21A-D09EF6B14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Direct Mining Growth Rate 2.5 +/- 0.25 %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Cumulative CdTe PV Produced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Tellurium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0</c:v>
                </c:pt>
                <c:pt idx="1">
                  <c:v>-17</c:v>
                </c:pt>
                <c:pt idx="2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4E51-8869-08BEE6E76B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5-4E51-8869-08BEE6E76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 Growth Rate 2.5 +/- 0.25 %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peak tellurium price (2022-USD)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Tellurium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Sheet1!$F$4:$F$6</c:f>
              <c:numCache>
                <c:formatCode>General</c:formatCode>
                <c:ptCount val="3"/>
                <c:pt idx="0">
                  <c:v>-37.6</c:v>
                </c:pt>
                <c:pt idx="1">
                  <c:v>-103.36</c:v>
                </c:pt>
                <c:pt idx="2">
                  <c:v>-24.82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D-42A3-9FE3-43389A690A0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42.73</c:v>
                </c:pt>
                <c:pt idx="1">
                  <c:v>112.84</c:v>
                </c:pt>
                <c:pt idx="2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D-42A3-9FE3-43389A69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</a:t>
                </a:r>
                <a:r>
                  <a:rPr lang="en-US" baseline="0"/>
                  <a:t> growth rate 3.96% +/- 0.396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peak tellurium price (2022-USD)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Tellurium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Sheet1!$J$4:$J$6</c:f>
              <c:numCache>
                <c:formatCode>General</c:formatCode>
                <c:ptCount val="3"/>
                <c:pt idx="0">
                  <c:v>-104</c:v>
                </c:pt>
                <c:pt idx="1">
                  <c:v>-180</c:v>
                </c:pt>
                <c:pt idx="2">
                  <c:v>-176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3-4AF3-9936-ED1502825DD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Sheet1!$E$4:$E$6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Sheet1!$K$4:$K$6</c:f>
              <c:numCache>
                <c:formatCode>General</c:formatCode>
                <c:ptCount val="3"/>
                <c:pt idx="0">
                  <c:v>32</c:v>
                </c:pt>
                <c:pt idx="1">
                  <c:v>354</c:v>
                </c:pt>
                <c:pt idx="2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3-4AF3-9936-ED150282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Tellurium in Copper Anodes 110 ppm +/- 11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peak tellurium price (2022-USD)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Supply Gap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Sheet1!$B$10:$B$12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A-4441-A501-66638D5F3E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Sheet1!$A$10:$A$12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A-4441-A501-66638D5F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Direct Mining Growth Rate 2.5 +/- 0.25 %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7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supply gap duration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Supply Gap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Sheet1!$F$10:$F$12</c:f>
              <c:numCache>
                <c:formatCode>General</c:formatCode>
                <c:ptCount val="3"/>
                <c:pt idx="0">
                  <c:v>-3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3-4D3D-8735-DAE49880B7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Sheet1!$G$10:$G$12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3-4D3D-8735-DAE49880B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</a:t>
                </a:r>
                <a:r>
                  <a:rPr lang="en-US" baseline="0"/>
                  <a:t> growth rate 3.96% +/- 0.396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7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supply gap duration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Supply Gap</a:t>
            </a:r>
            <a:r>
              <a:rPr lang="en-US" baseline="0"/>
              <a:t>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Sheet1!$J$10:$J$12</c:f>
              <c:numCache>
                <c:formatCode>General</c:formatCode>
                <c:ptCount val="3"/>
                <c:pt idx="0">
                  <c:v>-5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C-4A8B-81BD-BDBDB97776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Sheet1!$E$10:$E$12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Sheet1!$K$10:$K$12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C-4A8B-81BD-BDBDB9777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Tellurium in Copper Anodes 110 ppm +/- 11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7"/>
          <c:min val="-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supply gap duration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CdTe PV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8-4D42-A2E1-FC3F39EE47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Sheet1!$A$16:$A$18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Sheet1!$C$16:$C$18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8-4D42-A2E1-FC3F39EE4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Direct Mining Growth Rate 2.5 +/- 0.25 %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Cumulative CdTe PV Produced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CdTe PV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Sheet1!$F$16:$F$18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-26.5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B-44E2-B417-5F1FDC33B9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74.040000000000006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B-44E2-B417-5F1FDC33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 mining</a:t>
                </a:r>
                <a:r>
                  <a:rPr lang="en-US" baseline="0"/>
                  <a:t> growth rate 3.96% +/- 0.396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Cumulative CdTe PV Produced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CdTe PV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Sheet1!$J$16:$J$18</c:f>
              <c:numCache>
                <c:formatCode>General</c:formatCode>
                <c:ptCount val="3"/>
                <c:pt idx="0">
                  <c:v>-86.13</c:v>
                </c:pt>
                <c:pt idx="1">
                  <c:v>-178.5</c:v>
                </c:pt>
                <c:pt idx="2">
                  <c:v>-217.4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9-476E-A408-6173C28C34A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Sheet1!$E$16:$E$18</c:f>
              <c:strCache>
                <c:ptCount val="3"/>
                <c:pt idx="0">
                  <c:v>Low Demand</c:v>
                </c:pt>
                <c:pt idx="1">
                  <c:v>Baseline</c:v>
                </c:pt>
                <c:pt idx="2">
                  <c:v>High Demand</c:v>
                </c:pt>
              </c:strCache>
            </c:strRef>
          </c:cat>
          <c:val>
            <c:numRef>
              <c:f>Sheet1!$K$16:$K$18</c:f>
              <c:numCache>
                <c:formatCode>General</c:formatCode>
                <c:ptCount val="3"/>
                <c:pt idx="0">
                  <c:v>34.26</c:v>
                </c:pt>
                <c:pt idx="1">
                  <c:v>221.5</c:v>
                </c:pt>
                <c:pt idx="2">
                  <c:v>228.85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D9-476E-A408-6173C28C3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579888"/>
        <c:axId val="13895232"/>
      </c:barChart>
      <c:catAx>
        <c:axId val="208157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Tellurium in Copper Anodes 110 ppm +/- 11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232"/>
        <c:crosses val="autoZero"/>
        <c:auto val="1"/>
        <c:lblAlgn val="ctr"/>
        <c:lblOffset val="100"/>
        <c:noMultiLvlLbl val="0"/>
      </c:catAx>
      <c:valAx>
        <c:axId val="13895232"/>
        <c:scaling>
          <c:orientation val="minMax"/>
          <c:max val="300"/>
          <c:min val="-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</a:t>
                </a:r>
                <a:r>
                  <a:rPr lang="en-US" baseline="0"/>
                  <a:t> in Cumulative CdTe PV Produced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7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404504</xdr:colOff>
      <xdr:row>20</xdr:row>
      <xdr:rowOff>0</xdr:rowOff>
    </xdr:from>
    <xdr:to>
      <xdr:col>7</xdr:col>
      <xdr:colOff>119062</xdr:colOff>
      <xdr:row>36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B9E07-94DB-4745-BB1A-278A0697D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517071</xdr:colOff>
      <xdr:row>19</xdr:row>
      <xdr:rowOff>176893</xdr:rowOff>
    </xdr:from>
    <xdr:to>
      <xdr:col>11</xdr:col>
      <xdr:colOff>86591</xdr:colOff>
      <xdr:row>35</xdr:row>
      <xdr:rowOff>187778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85EF9E-77A9-4AD1-BD84-44D43B2B9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44825</xdr:colOff>
      <xdr:row>20</xdr:row>
      <xdr:rowOff>13607</xdr:rowOff>
    </xdr:from>
    <xdr:to>
      <xdr:col>3</xdr:col>
      <xdr:colOff>0</xdr:colOff>
      <xdr:row>36</xdr:row>
      <xdr:rowOff>24492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8093EF-D318-4D34-81DF-8128810F2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413017</xdr:colOff>
      <xdr:row>37</xdr:row>
      <xdr:rowOff>145676</xdr:rowOff>
    </xdr:from>
    <xdr:to>
      <xdr:col>7</xdr:col>
      <xdr:colOff>127575</xdr:colOff>
      <xdr:row>53</xdr:row>
      <xdr:rowOff>156561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D3F906-67B8-4E50-91F3-480C724B9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530680</xdr:colOff>
      <xdr:row>37</xdr:row>
      <xdr:rowOff>149679</xdr:rowOff>
    </xdr:from>
    <xdr:to>
      <xdr:col>11</xdr:col>
      <xdr:colOff>149987</xdr:colOff>
      <xdr:row>53</xdr:row>
      <xdr:rowOff>160564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D64708-E49D-4A86-8B31-E1F6DEFFC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68036</xdr:colOff>
      <xdr:row>37</xdr:row>
      <xdr:rowOff>149679</xdr:rowOff>
    </xdr:from>
    <xdr:to>
      <xdr:col>3</xdr:col>
      <xdr:colOff>0</xdr:colOff>
      <xdr:row>53</xdr:row>
      <xdr:rowOff>160564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5B20A4-71A7-4ED0-A439-6B01A5F1F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435429</xdr:colOff>
      <xdr:row>55</xdr:row>
      <xdr:rowOff>108857</xdr:rowOff>
    </xdr:from>
    <xdr:to>
      <xdr:col>7</xdr:col>
      <xdr:colOff>149987</xdr:colOff>
      <xdr:row>71</xdr:row>
      <xdr:rowOff>119742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44562D-D06F-437B-BD53-B40153EA8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557893</xdr:colOff>
      <xdr:row>55</xdr:row>
      <xdr:rowOff>108857</xdr:rowOff>
    </xdr:from>
    <xdr:to>
      <xdr:col>11</xdr:col>
      <xdr:colOff>177201</xdr:colOff>
      <xdr:row>71</xdr:row>
      <xdr:rowOff>119742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812564-DBCF-4B43-A8AA-5B6CB9908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68035</xdr:colOff>
      <xdr:row>55</xdr:row>
      <xdr:rowOff>95250</xdr:rowOff>
    </xdr:from>
    <xdr:to>
      <xdr:col>2</xdr:col>
      <xdr:colOff>1782535</xdr:colOff>
      <xdr:row>71</xdr:row>
      <xdr:rowOff>106135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E6AD0DD-B77F-42E0-8706-A10A83620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47625</xdr:colOff>
      <xdr:row>4</xdr:row>
      <xdr:rowOff>23812</xdr:rowOff>
    </xdr:from>
    <xdr:to>
      <xdr:col>22</xdr:col>
      <xdr:colOff>158664</xdr:colOff>
      <xdr:row>20</xdr:row>
      <xdr:rowOff>34697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A2127E-7211-4C15-B80E-D247D1810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17318</xdr:colOff>
      <xdr:row>21</xdr:row>
      <xdr:rowOff>103909</xdr:rowOff>
    </xdr:from>
    <xdr:to>
      <xdr:col>22</xdr:col>
      <xdr:colOff>121227</xdr:colOff>
      <xdr:row>37</xdr:row>
      <xdr:rowOff>114794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9AA1845-D224-44F9-83B8-4BFA0FB57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17319</xdr:colOff>
      <xdr:row>39</xdr:row>
      <xdr:rowOff>121227</xdr:rowOff>
    </xdr:from>
    <xdr:to>
      <xdr:col>22</xdr:col>
      <xdr:colOff>138547</xdr:colOff>
      <xdr:row>55</xdr:row>
      <xdr:rowOff>132112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1780AF-DB9D-45B5-BBD7-0C9D49A5A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238125</xdr:colOff>
      <xdr:row>4</xdr:row>
      <xdr:rowOff>0</xdr:rowOff>
    </xdr:from>
    <xdr:to>
      <xdr:col>30</xdr:col>
      <xdr:colOff>241527</xdr:colOff>
      <xdr:row>20</xdr:row>
      <xdr:rowOff>10885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E4D3663-C231-4EB1-AB92-437D29C62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238125</xdr:colOff>
      <xdr:row>21</xdr:row>
      <xdr:rowOff>119062</xdr:rowOff>
    </xdr:from>
    <xdr:to>
      <xdr:col>30</xdr:col>
      <xdr:colOff>261937</xdr:colOff>
      <xdr:row>37</xdr:row>
      <xdr:rowOff>129947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9222EA1-1F82-4BA1-BD3D-BB64BCAFF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238125</xdr:colOff>
      <xdr:row>39</xdr:row>
      <xdr:rowOff>142875</xdr:rowOff>
    </xdr:from>
    <xdr:to>
      <xdr:col>30</xdr:col>
      <xdr:colOff>261937</xdr:colOff>
      <xdr:row>55</xdr:row>
      <xdr:rowOff>153760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734A018-ED9D-49E7-B0D3-837A83F19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309562</xdr:colOff>
      <xdr:row>4</xdr:row>
      <xdr:rowOff>23812</xdr:rowOff>
    </xdr:from>
    <xdr:to>
      <xdr:col>38</xdr:col>
      <xdr:colOff>309562</xdr:colOff>
      <xdr:row>20</xdr:row>
      <xdr:rowOff>34697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E77C531-5A7F-469C-9C5E-43DA02F0D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309563</xdr:colOff>
      <xdr:row>22</xdr:row>
      <xdr:rowOff>23812</xdr:rowOff>
    </xdr:from>
    <xdr:to>
      <xdr:col>38</xdr:col>
      <xdr:colOff>333375</xdr:colOff>
      <xdr:row>38</xdr:row>
      <xdr:rowOff>34697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B63D897-22C6-4C61-BFC1-0037E1C83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309564</xdr:colOff>
      <xdr:row>39</xdr:row>
      <xdr:rowOff>166687</xdr:rowOff>
    </xdr:from>
    <xdr:to>
      <xdr:col>38</xdr:col>
      <xdr:colOff>309563</xdr:colOff>
      <xdr:row>55</xdr:row>
      <xdr:rowOff>177572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B8A9BF2-A00D-41CB-B0A1-8B9F30873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CE3D-0ABE-42D8-AD78-D0CA09BAB130}">
  <dimension ref="A1:K18"/>
  <sheetViews>
    <sheetView tabSelected="1" zoomScale="115" zoomScaleNormal="115" workbookViewId="0">
      <selection activeCell="C6" sqref="C6"/>
    </sheetView>
  </sheetViews>
  <sheetFormatPr defaultRowHeight="15" x14ac:dyDescent="0.25"/>
  <cols>
    <col min="1" max="1" width="14" bestFit="1" customWidth="1"/>
    <col min="2" max="2" width="25.28515625" customWidth="1"/>
    <col min="3" max="3" width="26.85546875" customWidth="1"/>
    <col min="5" max="5" width="14" bestFit="1" customWidth="1"/>
    <col min="6" max="6" width="23.85546875" customWidth="1"/>
    <col min="7" max="7" width="25.140625" customWidth="1"/>
    <col min="9" max="9" width="14" bestFit="1" customWidth="1"/>
    <col min="10" max="10" width="24.7109375" customWidth="1"/>
    <col min="11" max="11" width="25.7109375" customWidth="1"/>
  </cols>
  <sheetData>
    <row r="1" spans="1:11" x14ac:dyDescent="0.25">
      <c r="A1" s="5" t="s">
        <v>4</v>
      </c>
      <c r="B1" s="5"/>
      <c r="C1" s="5"/>
      <c r="E1" s="5" t="s">
        <v>7</v>
      </c>
      <c r="F1" s="5"/>
      <c r="G1" s="5"/>
      <c r="I1" s="5" t="s">
        <v>11</v>
      </c>
      <c r="J1" s="5"/>
      <c r="K1" s="5"/>
    </row>
    <row r="2" spans="1:11" x14ac:dyDescent="0.25">
      <c r="B2" s="6" t="s">
        <v>0</v>
      </c>
      <c r="C2" s="6"/>
      <c r="F2" s="3" t="s">
        <v>0</v>
      </c>
      <c r="G2" s="3"/>
      <c r="J2" s="6" t="s">
        <v>0</v>
      </c>
      <c r="K2" s="6"/>
    </row>
    <row r="3" spans="1:11" x14ac:dyDescent="0.25">
      <c r="B3" s="3" t="s">
        <v>8</v>
      </c>
      <c r="C3" s="3"/>
      <c r="F3" s="4" t="s">
        <v>8</v>
      </c>
      <c r="G3" s="4"/>
      <c r="J3" s="3" t="s">
        <v>8</v>
      </c>
      <c r="K3" s="3"/>
    </row>
    <row r="4" spans="1:11" x14ac:dyDescent="0.25">
      <c r="A4" s="1" t="s">
        <v>1</v>
      </c>
      <c r="B4" s="2">
        <v>0</v>
      </c>
      <c r="C4" s="2">
        <v>0</v>
      </c>
      <c r="E4" s="1" t="s">
        <v>1</v>
      </c>
      <c r="F4" s="2">
        <v>-37.6</v>
      </c>
      <c r="G4" s="2">
        <v>42.73</v>
      </c>
      <c r="I4" s="1" t="s">
        <v>1</v>
      </c>
      <c r="J4" s="2">
        <v>-104</v>
      </c>
      <c r="K4" s="2">
        <v>32</v>
      </c>
    </row>
    <row r="5" spans="1:11" x14ac:dyDescent="0.25">
      <c r="A5" s="1" t="s">
        <v>2</v>
      </c>
      <c r="B5" s="2">
        <v>-17</v>
      </c>
      <c r="C5" s="2">
        <v>15</v>
      </c>
      <c r="E5" s="1" t="s">
        <v>2</v>
      </c>
      <c r="F5" s="2">
        <v>-103.36</v>
      </c>
      <c r="G5" s="2">
        <v>112.84</v>
      </c>
      <c r="I5" s="1" t="s">
        <v>2</v>
      </c>
      <c r="J5" s="2">
        <v>-180</v>
      </c>
      <c r="K5" s="2">
        <v>354</v>
      </c>
    </row>
    <row r="6" spans="1:11" x14ac:dyDescent="0.25">
      <c r="A6" s="1" t="s">
        <v>3</v>
      </c>
      <c r="B6" s="2">
        <v>-4</v>
      </c>
      <c r="C6" s="2">
        <v>3</v>
      </c>
      <c r="E6" s="1" t="s">
        <v>3</v>
      </c>
      <c r="F6" s="2">
        <v>-24.82</v>
      </c>
      <c r="G6" s="2">
        <v>440</v>
      </c>
      <c r="I6" s="1" t="s">
        <v>3</v>
      </c>
      <c r="J6" s="2">
        <v>-176</v>
      </c>
      <c r="K6" s="2">
        <v>479</v>
      </c>
    </row>
    <row r="8" spans="1:11" x14ac:dyDescent="0.25">
      <c r="B8" s="3" t="s">
        <v>5</v>
      </c>
      <c r="C8" s="3"/>
      <c r="F8" s="3" t="s">
        <v>5</v>
      </c>
      <c r="G8" s="3"/>
      <c r="J8" s="3" t="s">
        <v>5</v>
      </c>
      <c r="K8" s="3"/>
    </row>
    <row r="9" spans="1:11" x14ac:dyDescent="0.25">
      <c r="B9" s="3" t="s">
        <v>9</v>
      </c>
      <c r="C9" s="3"/>
      <c r="F9" s="4" t="s">
        <v>9</v>
      </c>
      <c r="G9" s="4"/>
      <c r="J9" s="3" t="s">
        <v>9</v>
      </c>
      <c r="K9" s="3"/>
    </row>
    <row r="10" spans="1:11" x14ac:dyDescent="0.25">
      <c r="A10" s="1" t="s">
        <v>1</v>
      </c>
      <c r="B10" s="2">
        <v>0</v>
      </c>
      <c r="C10" s="2">
        <v>0</v>
      </c>
      <c r="E10" s="1" t="s">
        <v>1</v>
      </c>
      <c r="F10" s="2">
        <v>-3</v>
      </c>
      <c r="G10" s="2">
        <v>5</v>
      </c>
      <c r="I10" s="1" t="s">
        <v>1</v>
      </c>
      <c r="J10" s="2">
        <v>-5</v>
      </c>
      <c r="K10" s="2">
        <v>3</v>
      </c>
    </row>
    <row r="11" spans="1:11" x14ac:dyDescent="0.25">
      <c r="A11" s="1" t="s">
        <v>2</v>
      </c>
      <c r="B11" s="2">
        <v>0</v>
      </c>
      <c r="C11" s="2">
        <v>0</v>
      </c>
      <c r="E11" s="1" t="s">
        <v>2</v>
      </c>
      <c r="F11" s="2">
        <v>0</v>
      </c>
      <c r="G11" s="2">
        <v>1</v>
      </c>
      <c r="I11" s="1" t="s">
        <v>2</v>
      </c>
      <c r="J11" s="2">
        <v>0</v>
      </c>
      <c r="K11" s="2">
        <v>5</v>
      </c>
    </row>
    <row r="12" spans="1:11" x14ac:dyDescent="0.25">
      <c r="A12" s="1" t="s">
        <v>3</v>
      </c>
      <c r="B12" s="2">
        <v>0</v>
      </c>
      <c r="C12" s="2">
        <v>0</v>
      </c>
      <c r="E12" s="1" t="s">
        <v>3</v>
      </c>
      <c r="F12" s="2">
        <v>-1</v>
      </c>
      <c r="G12" s="2">
        <v>0</v>
      </c>
      <c r="I12" s="1" t="s">
        <v>3</v>
      </c>
      <c r="J12" s="2">
        <v>-1</v>
      </c>
      <c r="K12" s="2">
        <v>3</v>
      </c>
    </row>
    <row r="14" spans="1:11" x14ac:dyDescent="0.25">
      <c r="B14" s="3" t="s">
        <v>6</v>
      </c>
      <c r="C14" s="3"/>
      <c r="F14" s="3" t="s">
        <v>6</v>
      </c>
      <c r="G14" s="3"/>
      <c r="J14" s="3" t="s">
        <v>6</v>
      </c>
      <c r="K14" s="3"/>
    </row>
    <row r="15" spans="1:11" x14ac:dyDescent="0.25">
      <c r="B15" s="3" t="s">
        <v>10</v>
      </c>
      <c r="C15" s="3"/>
      <c r="F15" s="4" t="s">
        <v>10</v>
      </c>
      <c r="G15" s="4"/>
      <c r="J15" s="3" t="s">
        <v>10</v>
      </c>
      <c r="K15" s="3"/>
    </row>
    <row r="16" spans="1:11" x14ac:dyDescent="0.25">
      <c r="A16" s="1" t="s">
        <v>1</v>
      </c>
      <c r="B16" s="2">
        <v>0</v>
      </c>
      <c r="C16" s="2">
        <v>0</v>
      </c>
      <c r="E16" s="1" t="s">
        <v>1</v>
      </c>
      <c r="F16" s="2">
        <v>0</v>
      </c>
      <c r="G16" s="2">
        <v>0</v>
      </c>
      <c r="I16" s="1" t="s">
        <v>1</v>
      </c>
      <c r="J16" s="2">
        <v>-86.13</v>
      </c>
      <c r="K16" s="2">
        <v>34.26</v>
      </c>
    </row>
    <row r="17" spans="1:11" x14ac:dyDescent="0.25">
      <c r="A17" s="1" t="s">
        <v>2</v>
      </c>
      <c r="B17" s="2">
        <v>0</v>
      </c>
      <c r="C17" s="2">
        <v>0</v>
      </c>
      <c r="E17" s="1" t="s">
        <v>2</v>
      </c>
      <c r="F17" s="2">
        <v>0</v>
      </c>
      <c r="G17" s="2">
        <v>0</v>
      </c>
      <c r="I17" s="1" t="s">
        <v>2</v>
      </c>
      <c r="J17" s="2">
        <v>-178.5</v>
      </c>
      <c r="K17" s="2">
        <v>221.5</v>
      </c>
    </row>
    <row r="18" spans="1:11" x14ac:dyDescent="0.25">
      <c r="A18" s="1" t="s">
        <v>3</v>
      </c>
      <c r="B18" s="2">
        <v>-1</v>
      </c>
      <c r="C18" s="2">
        <v>1</v>
      </c>
      <c r="E18" s="1" t="s">
        <v>3</v>
      </c>
      <c r="F18" s="2">
        <v>-26.5</v>
      </c>
      <c r="G18" s="2">
        <v>74.040000000000006</v>
      </c>
      <c r="I18" s="1" t="s">
        <v>3</v>
      </c>
      <c r="J18" s="2">
        <v>-217.4</v>
      </c>
      <c r="K18" s="2">
        <v>228.85</v>
      </c>
    </row>
  </sheetData>
  <mergeCells count="21">
    <mergeCell ref="B2:C2"/>
    <mergeCell ref="B8:C8"/>
    <mergeCell ref="A1:C1"/>
    <mergeCell ref="B14:C14"/>
    <mergeCell ref="F2:G2"/>
    <mergeCell ref="E1:G1"/>
    <mergeCell ref="F8:G8"/>
    <mergeCell ref="F14:G14"/>
    <mergeCell ref="F3:G3"/>
    <mergeCell ref="F9:G9"/>
    <mergeCell ref="I1:K1"/>
    <mergeCell ref="J2:K2"/>
    <mergeCell ref="J3:K3"/>
    <mergeCell ref="J8:K8"/>
    <mergeCell ref="J9:K9"/>
    <mergeCell ref="J15:K15"/>
    <mergeCell ref="F15:G15"/>
    <mergeCell ref="B3:C3"/>
    <mergeCell ref="B9:C9"/>
    <mergeCell ref="B15:C15"/>
    <mergeCell ref="J14:K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</cp:lastModifiedBy>
  <dcterms:created xsi:type="dcterms:W3CDTF">2023-05-29T15:07:16Z</dcterms:created>
  <dcterms:modified xsi:type="dcterms:W3CDTF">2023-05-30T04:04:33Z</dcterms:modified>
</cp:coreProperties>
</file>